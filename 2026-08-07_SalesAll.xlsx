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tables/table3.xml" ContentType="application/vnd.openxmlformats-officedocument.spreadsheetml.table+xml"/>
  <Override PartName="/xl/slicers/slicer3.xml" ContentType="application/vnd.ms-excel.slicer+xml"/>
  <Override PartName="/xl/timelines/timeline3.xml" ContentType="application/vnd.ms-excel.timelin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drawings/drawing4.xml" ContentType="application/vnd.openxmlformats-officedocument.drawing+xml"/>
  <Override PartName="/xl/tables/table7.xml" ContentType="application/vnd.openxmlformats-officedocument.spreadsheetml.table+xml"/>
  <Override PartName="/xl/queryTables/queryTable5.xml" ContentType="application/vnd.openxmlformats-officedocument.spreadsheetml.query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Natasha Ringane\Documents\Excel Exercises\"/>
    </mc:Choice>
  </mc:AlternateContent>
  <xr:revisionPtr revIDLastSave="0" documentId="13_ncr:1_{D4ED70A7-93FF-47D4-9B8B-4E3B772C3149}" xr6:coauthVersionLast="47" xr6:coauthVersionMax="47" xr10:uidLastSave="{00000000-0000-0000-0000-000000000000}"/>
  <bookViews>
    <workbookView xWindow="-108" yWindow="-108" windowWidth="23256" windowHeight="12456" activeTab="6" xr2:uid="{00000000-000D-0000-FFFF-FFFF00000000}"/>
  </bookViews>
  <sheets>
    <sheet name="Sheet6" sheetId="15" r:id="rId1"/>
    <sheet name="Sheet7" sheetId="16" r:id="rId2"/>
    <sheet name="Sales_All" sheetId="8" r:id="rId3"/>
    <sheet name="Dashboard" sheetId="14" r:id="rId4"/>
    <sheet name="Customers" sheetId="12" r:id="rId5"/>
    <sheet name="Products" sheetId="9" r:id="rId6"/>
    <sheet name="Operations" sheetId="11" r:id="rId7"/>
    <sheet name="Finance" sheetId="10" r:id="rId8"/>
    <sheet name="Sales_Q1" sheetId="1" r:id="rId9"/>
    <sheet name="Sales_Q2" sheetId="2" r:id="rId10"/>
    <sheet name="Sales_Q3" sheetId="3" r:id="rId11"/>
  </sheets>
  <definedNames>
    <definedName name="ExternalData_1" localSheetId="2" hidden="1">Sales_All!$A$1:$G$91</definedName>
    <definedName name="ExternalData_2" localSheetId="4" hidden="1">'Customers'!$A$1:$F$29</definedName>
    <definedName name="ExternalData_2" localSheetId="7" hidden="1">Finance!$A$1:$D$10</definedName>
    <definedName name="ExternalData_2" localSheetId="5" hidden="1">Products!$A$1:$E$7</definedName>
    <definedName name="ExternalData_3" localSheetId="6" hidden="1">Operations!$A$1:$C$91</definedName>
    <definedName name="NativeTimeline_Date">#N/A</definedName>
    <definedName name="NativeTimeline_Date1">#N/A</definedName>
    <definedName name="NativeTimeline_Date2">#N/A</definedName>
    <definedName name="Slicer_Category">#N/A</definedName>
    <definedName name="Slicer_Category1">#N/A</definedName>
    <definedName name="Slicer_Product">#N/A</definedName>
    <definedName name="Slicer_Profit">#N/A</definedName>
    <definedName name="Slicer_Region">#N/A</definedName>
    <definedName name="Slicer_Region1">#N/A</definedName>
    <definedName name="Slicer_Region2">#N/A</definedName>
    <definedName name="Slicer_Revenue">#N/A</definedName>
  </definedNames>
  <calcPr calcId="191029"/>
  <pivotCaches>
    <pivotCache cacheId="7" r:id="rId12"/>
    <pivotCache cacheId="36"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 r:id="rId23"/>
        <x15:timelineCacheRef r:id="rId2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8" l="1"/>
  <c r="B2" i="14"/>
  <c r="C2" i="14"/>
  <c r="A2" i="14"/>
  <c r="L2" i="8"/>
  <c r="L3" i="8"/>
  <c r="M3" i="8"/>
  <c r="L4" i="8"/>
  <c r="M4" i="8"/>
  <c r="L5" i="8"/>
  <c r="M5" i="8"/>
  <c r="L6" i="8"/>
  <c r="M6" i="8"/>
  <c r="L7" i="8"/>
  <c r="M7" i="8"/>
  <c r="L8" i="8"/>
  <c r="M8" i="8"/>
  <c r="L9" i="8"/>
  <c r="M9" i="8"/>
  <c r="L10" i="8"/>
  <c r="M10" i="8"/>
  <c r="L11" i="8"/>
  <c r="M11" i="8"/>
  <c r="L12" i="8"/>
  <c r="M12" i="8"/>
  <c r="L13" i="8"/>
  <c r="M13" i="8"/>
  <c r="L14" i="8"/>
  <c r="M14" i="8"/>
  <c r="L15" i="8"/>
  <c r="M15" i="8"/>
  <c r="L16" i="8"/>
  <c r="M16" i="8"/>
  <c r="L17" i="8"/>
  <c r="M17" i="8"/>
  <c r="L18" i="8"/>
  <c r="M18" i="8"/>
  <c r="L19" i="8"/>
  <c r="M19" i="8"/>
  <c r="L20" i="8"/>
  <c r="M20" i="8"/>
  <c r="L21" i="8"/>
  <c r="M21" i="8"/>
  <c r="L22" i="8"/>
  <c r="M22" i="8"/>
  <c r="L23" i="8"/>
  <c r="M23" i="8"/>
  <c r="L24" i="8"/>
  <c r="M24" i="8"/>
  <c r="L25" i="8"/>
  <c r="M25" i="8"/>
  <c r="L26" i="8"/>
  <c r="M26" i="8"/>
  <c r="L27" i="8"/>
  <c r="M27" i="8"/>
  <c r="L28" i="8"/>
  <c r="M28" i="8"/>
  <c r="L29" i="8"/>
  <c r="M29" i="8"/>
  <c r="L30" i="8"/>
  <c r="M30" i="8"/>
  <c r="L31" i="8"/>
  <c r="M31" i="8"/>
  <c r="L32" i="8"/>
  <c r="M32" i="8"/>
  <c r="L33" i="8"/>
  <c r="M33" i="8"/>
  <c r="L34" i="8"/>
  <c r="M34" i="8"/>
  <c r="L35" i="8"/>
  <c r="M35" i="8"/>
  <c r="L36" i="8"/>
  <c r="M36" i="8"/>
  <c r="L37" i="8"/>
  <c r="M37" i="8"/>
  <c r="L38" i="8"/>
  <c r="M38" i="8"/>
  <c r="L39" i="8"/>
  <c r="M39" i="8"/>
  <c r="L40" i="8"/>
  <c r="M40" i="8"/>
  <c r="L41" i="8"/>
  <c r="M41" i="8"/>
  <c r="L42" i="8"/>
  <c r="M42" i="8"/>
  <c r="L43" i="8"/>
  <c r="M43" i="8"/>
  <c r="L44" i="8"/>
  <c r="M44" i="8"/>
  <c r="L45" i="8"/>
  <c r="M45" i="8"/>
  <c r="L46" i="8"/>
  <c r="M46" i="8"/>
  <c r="L47" i="8"/>
  <c r="M47" i="8"/>
  <c r="L48" i="8"/>
  <c r="M48" i="8"/>
  <c r="L49" i="8"/>
  <c r="M49" i="8"/>
  <c r="L50" i="8"/>
  <c r="M50" i="8"/>
  <c r="L51" i="8"/>
  <c r="M51" i="8"/>
  <c r="L52" i="8"/>
  <c r="M52" i="8"/>
  <c r="L53" i="8"/>
  <c r="M53" i="8"/>
  <c r="L54" i="8"/>
  <c r="M54" i="8"/>
  <c r="L55" i="8"/>
  <c r="M55" i="8"/>
  <c r="L56" i="8"/>
  <c r="M56" i="8"/>
  <c r="L57" i="8"/>
  <c r="M57" i="8"/>
  <c r="L58" i="8"/>
  <c r="M58" i="8"/>
  <c r="L59" i="8"/>
  <c r="M59" i="8"/>
  <c r="L60" i="8"/>
  <c r="M60" i="8"/>
  <c r="L61" i="8"/>
  <c r="M61" i="8"/>
  <c r="L62" i="8"/>
  <c r="M62" i="8"/>
  <c r="L63" i="8"/>
  <c r="M63" i="8"/>
  <c r="L64" i="8"/>
  <c r="M64" i="8"/>
  <c r="L65" i="8"/>
  <c r="M65" i="8"/>
  <c r="L66" i="8"/>
  <c r="M66" i="8"/>
  <c r="L67" i="8"/>
  <c r="M67" i="8"/>
  <c r="L68" i="8"/>
  <c r="M68" i="8"/>
  <c r="L69" i="8"/>
  <c r="M69" i="8"/>
  <c r="L70" i="8"/>
  <c r="M70" i="8"/>
  <c r="L71" i="8"/>
  <c r="M71" i="8"/>
  <c r="L72" i="8"/>
  <c r="M72" i="8"/>
  <c r="L73" i="8"/>
  <c r="M73" i="8"/>
  <c r="L74" i="8"/>
  <c r="M74" i="8"/>
  <c r="L75" i="8"/>
  <c r="M75" i="8"/>
  <c r="L76" i="8"/>
  <c r="M76" i="8"/>
  <c r="L77" i="8"/>
  <c r="M77" i="8"/>
  <c r="L78" i="8"/>
  <c r="M78" i="8"/>
  <c r="L79" i="8"/>
  <c r="M79" i="8"/>
  <c r="L80" i="8"/>
  <c r="M80" i="8"/>
  <c r="L81" i="8"/>
  <c r="M81" i="8"/>
  <c r="L82" i="8"/>
  <c r="M82" i="8"/>
  <c r="L83" i="8"/>
  <c r="M83" i="8"/>
  <c r="L84" i="8"/>
  <c r="M84" i="8"/>
  <c r="L85" i="8"/>
  <c r="M85" i="8"/>
  <c r="L86" i="8"/>
  <c r="M86" i="8"/>
  <c r="L87" i="8"/>
  <c r="M87" i="8"/>
  <c r="L88" i="8"/>
  <c r="M88" i="8"/>
  <c r="L89" i="8"/>
  <c r="M89" i="8"/>
  <c r="L90" i="8"/>
  <c r="M90" i="8"/>
  <c r="L91" i="8"/>
  <c r="M91" i="8"/>
  <c r="H2" i="8"/>
  <c r="R3" i="8"/>
  <c r="R4" i="8"/>
  <c r="R5" i="8"/>
  <c r="R6" i="8"/>
  <c r="R7" i="8"/>
  <c r="R8" i="8"/>
  <c r="R9" i="8"/>
  <c r="R10" i="8"/>
  <c r="R11" i="8"/>
  <c r="R12" i="8"/>
  <c r="R13" i="8"/>
  <c r="R14" i="8"/>
  <c r="R15" i="8"/>
  <c r="R16" i="8"/>
  <c r="R17" i="8"/>
  <c r="R18" i="8"/>
  <c r="R19" i="8"/>
  <c r="R20" i="8"/>
  <c r="R21" i="8"/>
  <c r="R22" i="8"/>
  <c r="R23" i="8"/>
  <c r="R24" i="8"/>
  <c r="R25" i="8"/>
  <c r="R26" i="8"/>
  <c r="R27" i="8"/>
  <c r="R28" i="8"/>
  <c r="R29" i="8"/>
  <c r="R30" i="8"/>
  <c r="R31" i="8"/>
  <c r="R32" i="8"/>
  <c r="R33" i="8"/>
  <c r="R34" i="8"/>
  <c r="R35" i="8"/>
  <c r="R36" i="8"/>
  <c r="R37" i="8"/>
  <c r="R38" i="8"/>
  <c r="R39" i="8"/>
  <c r="R40" i="8"/>
  <c r="R41" i="8"/>
  <c r="R42" i="8"/>
  <c r="R43" i="8"/>
  <c r="R44" i="8"/>
  <c r="R45" i="8"/>
  <c r="R46" i="8"/>
  <c r="R47" i="8"/>
  <c r="R48" i="8"/>
  <c r="R49" i="8"/>
  <c r="R50" i="8"/>
  <c r="R51" i="8"/>
  <c r="R52" i="8"/>
  <c r="R53" i="8"/>
  <c r="R54" i="8"/>
  <c r="R55" i="8"/>
  <c r="R56" i="8"/>
  <c r="R57" i="8"/>
  <c r="R58" i="8"/>
  <c r="R59" i="8"/>
  <c r="R60" i="8"/>
  <c r="R61" i="8"/>
  <c r="R62" i="8"/>
  <c r="R63" i="8"/>
  <c r="R64" i="8"/>
  <c r="R65" i="8"/>
  <c r="R66" i="8"/>
  <c r="R67" i="8"/>
  <c r="R68" i="8"/>
  <c r="R69" i="8"/>
  <c r="R70" i="8"/>
  <c r="R71" i="8"/>
  <c r="R72" i="8"/>
  <c r="R73" i="8"/>
  <c r="R74" i="8"/>
  <c r="R75" i="8"/>
  <c r="R76" i="8"/>
  <c r="R77" i="8"/>
  <c r="R78" i="8"/>
  <c r="R79" i="8"/>
  <c r="R80" i="8"/>
  <c r="R81" i="8"/>
  <c r="R82" i="8"/>
  <c r="R83" i="8"/>
  <c r="R84" i="8"/>
  <c r="R85" i="8"/>
  <c r="R86" i="8"/>
  <c r="R87" i="8"/>
  <c r="R88" i="8"/>
  <c r="R89" i="8"/>
  <c r="R90" i="8"/>
  <c r="R91" i="8"/>
  <c r="R2" i="8"/>
  <c r="B96" i="8" a="1"/>
  <c r="B96" i="8" s="1"/>
  <c r="D96" i="8" s="1"/>
  <c r="H83" i="8"/>
  <c r="D97" i="8" l="1"/>
  <c r="F96" i="8"/>
  <c r="F99" i="8"/>
  <c r="F98" i="8"/>
  <c r="F97" i="8"/>
  <c r="D99" i="8"/>
  <c r="D98" i="8"/>
  <c r="K18" i="8"/>
  <c r="N18" i="8" s="1"/>
  <c r="K28" i="8"/>
  <c r="N28" i="8" s="1"/>
  <c r="K14" i="8"/>
  <c r="N14" i="8" s="1"/>
  <c r="K5" i="8"/>
  <c r="N5" i="8" s="1"/>
  <c r="K21" i="8"/>
  <c r="N21" i="8" s="1"/>
  <c r="K27" i="8"/>
  <c r="N27" i="8" s="1"/>
  <c r="K15" i="8"/>
  <c r="N15" i="8" s="1"/>
  <c r="K7" i="8"/>
  <c r="N7" i="8" s="1"/>
  <c r="K31" i="8"/>
  <c r="N31" i="8" s="1"/>
  <c r="K9" i="8"/>
  <c r="N9" i="8" s="1"/>
  <c r="K4" i="8"/>
  <c r="N4" i="8" s="1"/>
  <c r="K12" i="8"/>
  <c r="N12" i="8" s="1"/>
  <c r="K22" i="8"/>
  <c r="N22" i="8" s="1"/>
  <c r="K8" i="8"/>
  <c r="N8" i="8" s="1"/>
  <c r="K30" i="8"/>
  <c r="N30" i="8" s="1"/>
  <c r="K11" i="8"/>
  <c r="N11" i="8" s="1"/>
  <c r="K24" i="8"/>
  <c r="N24" i="8" s="1"/>
  <c r="K13" i="8"/>
  <c r="N13" i="8" s="1"/>
  <c r="K29" i="8"/>
  <c r="N29" i="8" s="1"/>
  <c r="K19" i="8"/>
  <c r="N19" i="8" s="1"/>
  <c r="K26" i="8"/>
  <c r="N26" i="8" s="1"/>
  <c r="K3" i="8"/>
  <c r="N3" i="8" s="1"/>
  <c r="K20" i="8"/>
  <c r="N20" i="8" s="1"/>
  <c r="K17" i="8"/>
  <c r="N17" i="8" s="1"/>
  <c r="K2" i="8"/>
  <c r="N2" i="8" s="1"/>
  <c r="K23" i="8"/>
  <c r="N23" i="8" s="1"/>
  <c r="K10" i="8"/>
  <c r="N10" i="8" s="1"/>
  <c r="K25" i="8"/>
  <c r="N25" i="8" s="1"/>
  <c r="K6" i="8"/>
  <c r="K41" i="8"/>
  <c r="N41" i="8" s="1"/>
  <c r="K57" i="8"/>
  <c r="N57" i="8" s="1"/>
  <c r="K45" i="8"/>
  <c r="N45" i="8" s="1"/>
  <c r="K50" i="8"/>
  <c r="N50" i="8" s="1"/>
  <c r="K43" i="8"/>
  <c r="N43" i="8" s="1"/>
  <c r="K60" i="8"/>
  <c r="N60" i="8" s="1"/>
  <c r="K39" i="8"/>
  <c r="N39" i="8" s="1"/>
  <c r="K40" i="8"/>
  <c r="N40" i="8" s="1"/>
  <c r="K37" i="8"/>
  <c r="N37" i="8" s="1"/>
  <c r="K38" i="8"/>
  <c r="N38" i="8" s="1"/>
  <c r="K34" i="8"/>
  <c r="N34" i="8" s="1"/>
  <c r="K58" i="8"/>
  <c r="N58" i="8" s="1"/>
  <c r="K59" i="8"/>
  <c r="N59" i="8" s="1"/>
  <c r="K35" i="8"/>
  <c r="N35" i="8" s="1"/>
  <c r="K48" i="8"/>
  <c r="N48" i="8" s="1"/>
  <c r="K49" i="8"/>
  <c r="N49" i="8" s="1"/>
  <c r="K47" i="8"/>
  <c r="N47" i="8" s="1"/>
  <c r="K54" i="8"/>
  <c r="N54" i="8" s="1"/>
  <c r="K32" i="8"/>
  <c r="N32" i="8" s="1"/>
  <c r="K56" i="8"/>
  <c r="N56" i="8" s="1"/>
  <c r="K61" i="8"/>
  <c r="N61" i="8" s="1"/>
  <c r="K44" i="8"/>
  <c r="N44" i="8" s="1"/>
  <c r="K52" i="8"/>
  <c r="N52" i="8" s="1"/>
  <c r="K51" i="8"/>
  <c r="N51" i="8" s="1"/>
  <c r="K53" i="8"/>
  <c r="N53" i="8" s="1"/>
  <c r="K36" i="8"/>
  <c r="N36" i="8" s="1"/>
  <c r="K46" i="8"/>
  <c r="N46" i="8" s="1"/>
  <c r="K42" i="8"/>
  <c r="N42" i="8" s="1"/>
  <c r="K55" i="8"/>
  <c r="N55" i="8" s="1"/>
  <c r="K33" i="8"/>
  <c r="N33" i="8" s="1"/>
  <c r="K62" i="8"/>
  <c r="N62" i="8" s="1"/>
  <c r="K69" i="8"/>
  <c r="N69" i="8" s="1"/>
  <c r="K81" i="8"/>
  <c r="N81" i="8" s="1"/>
  <c r="K64" i="8"/>
  <c r="N64" i="8" s="1"/>
  <c r="K66" i="8"/>
  <c r="N66" i="8" s="1"/>
  <c r="K80" i="8"/>
  <c r="N80" i="8" s="1"/>
  <c r="K78" i="8"/>
  <c r="N78" i="8" s="1"/>
  <c r="K67" i="8"/>
  <c r="N67" i="8" s="1"/>
  <c r="K87" i="8"/>
  <c r="N87" i="8" s="1"/>
  <c r="K91" i="8"/>
  <c r="N91" i="8" s="1"/>
  <c r="K83" i="8"/>
  <c r="N83" i="8" s="1"/>
  <c r="K73" i="8"/>
  <c r="N73" i="8" s="1"/>
  <c r="K88" i="8"/>
  <c r="N88" i="8" s="1"/>
  <c r="K65" i="8"/>
  <c r="N65" i="8" s="1"/>
  <c r="K74" i="8"/>
  <c r="N74" i="8" s="1"/>
  <c r="K89" i="8"/>
  <c r="N89" i="8" s="1"/>
  <c r="K85" i="8"/>
  <c r="N85" i="8" s="1"/>
  <c r="K86" i="8"/>
  <c r="N86" i="8" s="1"/>
  <c r="K72" i="8"/>
  <c r="N72" i="8" s="1"/>
  <c r="K77" i="8"/>
  <c r="N77" i="8" s="1"/>
  <c r="K90" i="8"/>
  <c r="N90" i="8" s="1"/>
  <c r="K63" i="8"/>
  <c r="N63" i="8" s="1"/>
  <c r="K75" i="8"/>
  <c r="N75" i="8" s="1"/>
  <c r="K76" i="8"/>
  <c r="N76" i="8" s="1"/>
  <c r="K82" i="8"/>
  <c r="N82" i="8" s="1"/>
  <c r="K68" i="8"/>
  <c r="N68" i="8" s="1"/>
  <c r="K71" i="8"/>
  <c r="N71" i="8" s="1"/>
  <c r="K70" i="8"/>
  <c r="N70" i="8" s="1"/>
  <c r="K79" i="8"/>
  <c r="N79" i="8" s="1"/>
  <c r="K84" i="8"/>
  <c r="N84" i="8" s="1"/>
  <c r="K16" i="8"/>
  <c r="N16" i="8" s="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2" i="11"/>
  <c r="E3" i="10"/>
  <c r="E4" i="10"/>
  <c r="E5" i="10"/>
  <c r="E6" i="10"/>
  <c r="E7" i="10"/>
  <c r="E8" i="10"/>
  <c r="E9" i="10"/>
  <c r="E10" i="10"/>
  <c r="E2" i="10"/>
  <c r="J18" i="8"/>
  <c r="J28" i="8"/>
  <c r="J14" i="8"/>
  <c r="J5" i="8"/>
  <c r="J21" i="8"/>
  <c r="J27" i="8"/>
  <c r="J15" i="8"/>
  <c r="J7" i="8"/>
  <c r="J31" i="8"/>
  <c r="J9" i="8"/>
  <c r="J4" i="8"/>
  <c r="J12" i="8"/>
  <c r="J22" i="8"/>
  <c r="J8" i="8"/>
  <c r="J30" i="8"/>
  <c r="J11" i="8"/>
  <c r="J24" i="8"/>
  <c r="J13" i="8"/>
  <c r="J29" i="8"/>
  <c r="J19" i="8"/>
  <c r="J26" i="8"/>
  <c r="J3" i="8"/>
  <c r="J20" i="8"/>
  <c r="J17" i="8"/>
  <c r="J2" i="8"/>
  <c r="J23" i="8"/>
  <c r="J10" i="8"/>
  <c r="J25" i="8"/>
  <c r="J6" i="8"/>
  <c r="J41" i="8"/>
  <c r="J57" i="8"/>
  <c r="J45" i="8"/>
  <c r="J50" i="8"/>
  <c r="J43" i="8"/>
  <c r="J60" i="8"/>
  <c r="J39" i="8"/>
  <c r="J40" i="8"/>
  <c r="J37" i="8"/>
  <c r="J38" i="8"/>
  <c r="J34" i="8"/>
  <c r="J58" i="8"/>
  <c r="J59" i="8"/>
  <c r="J35" i="8"/>
  <c r="J48" i="8"/>
  <c r="J49" i="8"/>
  <c r="J47" i="8"/>
  <c r="J54" i="8"/>
  <c r="J32" i="8"/>
  <c r="J56" i="8"/>
  <c r="J61" i="8"/>
  <c r="J44" i="8"/>
  <c r="J52" i="8"/>
  <c r="J51" i="8"/>
  <c r="J53" i="8"/>
  <c r="J36" i="8"/>
  <c r="J46" i="8"/>
  <c r="J42" i="8"/>
  <c r="J55" i="8"/>
  <c r="J33" i="8"/>
  <c r="J62" i="8"/>
  <c r="J69" i="8"/>
  <c r="J81" i="8"/>
  <c r="J64" i="8"/>
  <c r="J66" i="8"/>
  <c r="J80" i="8"/>
  <c r="J78" i="8"/>
  <c r="J67" i="8"/>
  <c r="J87" i="8"/>
  <c r="J91" i="8"/>
  <c r="J83" i="8"/>
  <c r="J73" i="8"/>
  <c r="J88" i="8"/>
  <c r="J65" i="8"/>
  <c r="J74" i="8"/>
  <c r="J89" i="8"/>
  <c r="J85" i="8"/>
  <c r="J86" i="8"/>
  <c r="J72" i="8"/>
  <c r="J77" i="8"/>
  <c r="J90" i="8"/>
  <c r="J63" i="8"/>
  <c r="J75" i="8"/>
  <c r="J76" i="8"/>
  <c r="J82" i="8"/>
  <c r="J68" i="8"/>
  <c r="J71" i="8"/>
  <c r="J70" i="8"/>
  <c r="J79" i="8"/>
  <c r="J84" i="8"/>
  <c r="J16" i="8"/>
  <c r="I18" i="8"/>
  <c r="I28" i="8"/>
  <c r="I14" i="8"/>
  <c r="I5" i="8"/>
  <c r="I21" i="8"/>
  <c r="I27" i="8"/>
  <c r="I15" i="8"/>
  <c r="I7" i="8"/>
  <c r="I31" i="8"/>
  <c r="I9" i="8"/>
  <c r="I4" i="8"/>
  <c r="I12" i="8"/>
  <c r="I22" i="8"/>
  <c r="I8" i="8"/>
  <c r="I30" i="8"/>
  <c r="I11" i="8"/>
  <c r="I24" i="8"/>
  <c r="I13" i="8"/>
  <c r="I29" i="8"/>
  <c r="I19" i="8"/>
  <c r="I26" i="8"/>
  <c r="I3" i="8"/>
  <c r="I20" i="8"/>
  <c r="I17" i="8"/>
  <c r="I2" i="8"/>
  <c r="I23" i="8"/>
  <c r="I10" i="8"/>
  <c r="I25" i="8"/>
  <c r="I6" i="8"/>
  <c r="I41" i="8"/>
  <c r="I57" i="8"/>
  <c r="I45" i="8"/>
  <c r="I50" i="8"/>
  <c r="I43" i="8"/>
  <c r="I60" i="8"/>
  <c r="I39" i="8"/>
  <c r="I40" i="8"/>
  <c r="I37" i="8"/>
  <c r="I38" i="8"/>
  <c r="I34" i="8"/>
  <c r="I58" i="8"/>
  <c r="I59" i="8"/>
  <c r="I35" i="8"/>
  <c r="I48" i="8"/>
  <c r="I49" i="8"/>
  <c r="I47" i="8"/>
  <c r="I54" i="8"/>
  <c r="I32" i="8"/>
  <c r="I56" i="8"/>
  <c r="I61" i="8"/>
  <c r="I44" i="8"/>
  <c r="I52" i="8"/>
  <c r="I51" i="8"/>
  <c r="I53" i="8"/>
  <c r="I36" i="8"/>
  <c r="I46" i="8"/>
  <c r="I42" i="8"/>
  <c r="I55" i="8"/>
  <c r="I33" i="8"/>
  <c r="I62" i="8"/>
  <c r="I69" i="8"/>
  <c r="I81" i="8"/>
  <c r="I64" i="8"/>
  <c r="I66" i="8"/>
  <c r="I80" i="8"/>
  <c r="I78" i="8"/>
  <c r="I67" i="8"/>
  <c r="I87" i="8"/>
  <c r="I91" i="8"/>
  <c r="I83" i="8"/>
  <c r="I73" i="8"/>
  <c r="I88" i="8"/>
  <c r="I65" i="8"/>
  <c r="I74" i="8"/>
  <c r="I89" i="8"/>
  <c r="I85" i="8"/>
  <c r="I86" i="8"/>
  <c r="I72" i="8"/>
  <c r="I77" i="8"/>
  <c r="I90" i="8"/>
  <c r="I63" i="8"/>
  <c r="I75" i="8"/>
  <c r="I76" i="8"/>
  <c r="I82" i="8"/>
  <c r="I68" i="8"/>
  <c r="I71" i="8"/>
  <c r="I70" i="8"/>
  <c r="I79" i="8"/>
  <c r="I84" i="8"/>
  <c r="I16" i="8"/>
  <c r="H18" i="8"/>
  <c r="O18" i="8" s="1"/>
  <c r="H28" i="8"/>
  <c r="O28" i="8" s="1"/>
  <c r="H14" i="8"/>
  <c r="O14" i="8" s="1"/>
  <c r="H5" i="8"/>
  <c r="O5" i="8" s="1"/>
  <c r="H21" i="8"/>
  <c r="O21" i="8" s="1"/>
  <c r="H27" i="8"/>
  <c r="O27" i="8" s="1"/>
  <c r="H15" i="8"/>
  <c r="O15" i="8" s="1"/>
  <c r="H7" i="8"/>
  <c r="O7" i="8" s="1"/>
  <c r="H31" i="8"/>
  <c r="O31" i="8" s="1"/>
  <c r="H9" i="8"/>
  <c r="O9" i="8" s="1"/>
  <c r="H4" i="8"/>
  <c r="O4" i="8" s="1"/>
  <c r="H12" i="8"/>
  <c r="O12" i="8" s="1"/>
  <c r="H22" i="8"/>
  <c r="O22" i="8" s="1"/>
  <c r="H8" i="8"/>
  <c r="O8" i="8" s="1"/>
  <c r="H30" i="8"/>
  <c r="O30" i="8" s="1"/>
  <c r="H11" i="8"/>
  <c r="O11" i="8" s="1"/>
  <c r="H24" i="8"/>
  <c r="O24" i="8" s="1"/>
  <c r="H13" i="8"/>
  <c r="O13" i="8" s="1"/>
  <c r="H29" i="8"/>
  <c r="O29" i="8" s="1"/>
  <c r="H19" i="8"/>
  <c r="O19" i="8" s="1"/>
  <c r="H26" i="8"/>
  <c r="O26" i="8" s="1"/>
  <c r="H3" i="8"/>
  <c r="O3" i="8" s="1"/>
  <c r="H20" i="8"/>
  <c r="O20" i="8" s="1"/>
  <c r="H17" i="8"/>
  <c r="O17" i="8" s="1"/>
  <c r="H23" i="8"/>
  <c r="O23" i="8" s="1"/>
  <c r="H10" i="8"/>
  <c r="O10" i="8" s="1"/>
  <c r="H25" i="8"/>
  <c r="O25" i="8" s="1"/>
  <c r="H6" i="8"/>
  <c r="O6" i="8" s="1"/>
  <c r="H41" i="8"/>
  <c r="O41" i="8" s="1"/>
  <c r="H57" i="8"/>
  <c r="O57" i="8" s="1"/>
  <c r="H45" i="8"/>
  <c r="O45" i="8" s="1"/>
  <c r="H50" i="8"/>
  <c r="O50" i="8" s="1"/>
  <c r="H43" i="8"/>
  <c r="O43" i="8" s="1"/>
  <c r="H60" i="8"/>
  <c r="O60" i="8" s="1"/>
  <c r="H39" i="8"/>
  <c r="O39" i="8" s="1"/>
  <c r="H40" i="8"/>
  <c r="O40" i="8" s="1"/>
  <c r="H37" i="8"/>
  <c r="O37" i="8" s="1"/>
  <c r="H38" i="8"/>
  <c r="O38" i="8" s="1"/>
  <c r="H34" i="8"/>
  <c r="O34" i="8" s="1"/>
  <c r="H58" i="8"/>
  <c r="O58" i="8" s="1"/>
  <c r="H59" i="8"/>
  <c r="O59" i="8" s="1"/>
  <c r="H35" i="8"/>
  <c r="O35" i="8" s="1"/>
  <c r="H48" i="8"/>
  <c r="O48" i="8" s="1"/>
  <c r="H49" i="8"/>
  <c r="O49" i="8" s="1"/>
  <c r="H47" i="8"/>
  <c r="O47" i="8" s="1"/>
  <c r="H54" i="8"/>
  <c r="O54" i="8" s="1"/>
  <c r="H32" i="8"/>
  <c r="O32" i="8" s="1"/>
  <c r="H56" i="8"/>
  <c r="O56" i="8" s="1"/>
  <c r="H61" i="8"/>
  <c r="O61" i="8" s="1"/>
  <c r="H44" i="8"/>
  <c r="O44" i="8" s="1"/>
  <c r="H52" i="8"/>
  <c r="O52" i="8" s="1"/>
  <c r="H51" i="8"/>
  <c r="O51" i="8" s="1"/>
  <c r="H53" i="8"/>
  <c r="O53" i="8" s="1"/>
  <c r="H36" i="8"/>
  <c r="O36" i="8" s="1"/>
  <c r="H46" i="8"/>
  <c r="O46" i="8" s="1"/>
  <c r="H42" i="8"/>
  <c r="O42" i="8" s="1"/>
  <c r="H55" i="8"/>
  <c r="O55" i="8" s="1"/>
  <c r="H33" i="8"/>
  <c r="O33" i="8" s="1"/>
  <c r="H62" i="8"/>
  <c r="O62" i="8" s="1"/>
  <c r="H69" i="8"/>
  <c r="O69" i="8" s="1"/>
  <c r="H81" i="8"/>
  <c r="O81" i="8" s="1"/>
  <c r="H64" i="8"/>
  <c r="O64" i="8" s="1"/>
  <c r="H66" i="8"/>
  <c r="O66" i="8" s="1"/>
  <c r="H80" i="8"/>
  <c r="O80" i="8" s="1"/>
  <c r="H78" i="8"/>
  <c r="O78" i="8" s="1"/>
  <c r="H67" i="8"/>
  <c r="O67" i="8" s="1"/>
  <c r="H87" i="8"/>
  <c r="O87" i="8" s="1"/>
  <c r="H91" i="8"/>
  <c r="O91" i="8" s="1"/>
  <c r="O83" i="8"/>
  <c r="H73" i="8"/>
  <c r="O73" i="8" s="1"/>
  <c r="H88" i="8"/>
  <c r="O88" i="8" s="1"/>
  <c r="H65" i="8"/>
  <c r="O65" i="8" s="1"/>
  <c r="H74" i="8"/>
  <c r="O74" i="8" s="1"/>
  <c r="H89" i="8"/>
  <c r="O89" i="8" s="1"/>
  <c r="H85" i="8"/>
  <c r="O85" i="8" s="1"/>
  <c r="H86" i="8"/>
  <c r="O86" i="8" s="1"/>
  <c r="H72" i="8"/>
  <c r="O72" i="8" s="1"/>
  <c r="H77" i="8"/>
  <c r="O77" i="8" s="1"/>
  <c r="H90" i="8"/>
  <c r="O90" i="8" s="1"/>
  <c r="H63" i="8"/>
  <c r="O63" i="8" s="1"/>
  <c r="H75" i="8"/>
  <c r="O75" i="8" s="1"/>
  <c r="H76" i="8"/>
  <c r="O76" i="8" s="1"/>
  <c r="H82" i="8"/>
  <c r="O82" i="8" s="1"/>
  <c r="H68" i="8"/>
  <c r="O68" i="8" s="1"/>
  <c r="H71" i="8"/>
  <c r="O71" i="8" s="1"/>
  <c r="H70" i="8"/>
  <c r="O70" i="8" s="1"/>
  <c r="H79" i="8"/>
  <c r="O79" i="8" s="1"/>
  <c r="H84" i="8"/>
  <c r="O84" i="8" s="1"/>
  <c r="H16" i="8"/>
  <c r="O16" i="8" s="1"/>
  <c r="P2" i="8" l="1" a="1"/>
  <c r="P2" i="8" s="1"/>
  <c r="O2" i="8"/>
  <c r="N6" i="8"/>
  <c r="A10" i="9"/>
  <c r="A10" i="9"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7BC716-CECA-4194-8ADB-A75FB4F077EF}"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759A7EE3-C2D4-43D3-93F0-379C6EDDD2B7}"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3" xr16:uid="{9F9D728D-25BC-4AB8-AF72-C2050C4DCCC7}" keepAlive="1" name="Query - Finance" description="Connection to the 'Finance' query in the workbook." type="5" refreshedVersion="8" background="1" saveData="1">
    <dbPr connection="Provider=Microsoft.Mashup.OleDb.1;Data Source=$Workbook$;Location=Finance;Extended Properties=&quot;&quot;" command="SELECT * FROM [Finance]"/>
  </connection>
  <connection id="4" xr16:uid="{8E477C14-9B69-41A3-A1D9-93567EF622DE}" keepAlive="1" name="Query - Operations" description="Connection to the 'Operations' query in the workbook." type="5" refreshedVersion="8" background="1" saveData="1">
    <dbPr connection="Provider=Microsoft.Mashup.OleDb.1;Data Source=$Workbook$;Location=Operations;Extended Properties=&quot;&quot;" command="SELECT * FROM [Operations]"/>
  </connection>
  <connection id="5" xr16:uid="{B3D3FA86-FD09-43EC-B040-9524BB7E0398}"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6" xr16:uid="{85BEF695-BC9E-4C80-A4A7-DDEBDF9E13D5}" keepAlive="1" name="Query - Sales_Q1" description="Connection to the 'Sales_Q1' query in the workbook." type="5" refreshedVersion="0" background="1">
    <dbPr connection="Provider=Microsoft.Mashup.OleDb.1;Data Source=$Workbook$;Location=Sales_Q1;Extended Properties=&quot;&quot;" command="SELECT * FROM [Sales_Q1]"/>
  </connection>
  <connection id="7" xr16:uid="{F1C8EAD8-DDB1-4CAB-8393-2DC8A297FA00}" keepAlive="1" name="Query - Sales_Q2" description="Connection to the 'Sales_Q2' query in the workbook." type="5" refreshedVersion="0" background="1">
    <dbPr connection="Provider=Microsoft.Mashup.OleDb.1;Data Source=$Workbook$;Location=Sales_Q2;Extended Properties=&quot;&quot;" command="SELECT * FROM [Sales_Q2]"/>
  </connection>
  <connection id="8" xr16:uid="{CAFFF99E-D7C1-4D8C-A369-8D3E98078122}" keepAlive="1" name="Query - Sales_Q3" description="Connection to the 'Sales_Q3' query in the workbook." type="5" refreshedVersion="0" background="1">
    <dbPr connection="Provider=Microsoft.Mashup.OleDb.1;Data Source=$Workbook$;Location=Sales_Q3;Extended Properties=&quot;&quot;" command="SELECT * FROM [Sales_Q3]"/>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<sst xmlns="http://schemas.openxmlformats.org/spreadsheetml/2006/main" count="1008" uniqueCount="228">
  <si>
    <t>OrderID</t>
  </si>
  <si>
    <t>Date</t>
  </si>
  <si>
    <t>Region</t>
  </si>
  <si>
    <t>CustomerID</t>
  </si>
  <si>
    <t>Product</t>
  </si>
  <si>
    <t>Quantity</t>
  </si>
  <si>
    <t>UnitPrice</t>
  </si>
  <si>
    <t>Q1-001</t>
  </si>
  <si>
    <t>Q1-002</t>
  </si>
  <si>
    <t>Q1-003</t>
  </si>
  <si>
    <t>Q1-004</t>
  </si>
  <si>
    <t>Q1-005</t>
  </si>
  <si>
    <t>Q1-006</t>
  </si>
  <si>
    <t>Q1-007</t>
  </si>
  <si>
    <t>Q1-008</t>
  </si>
  <si>
    <t>Q1-009</t>
  </si>
  <si>
    <t>Q1-010</t>
  </si>
  <si>
    <t>Q1-011</t>
  </si>
  <si>
    <t>Q1-012</t>
  </si>
  <si>
    <t>Q1-013</t>
  </si>
  <si>
    <t>Q1-014</t>
  </si>
  <si>
    <t>Q1-015</t>
  </si>
  <si>
    <t>Q1-016</t>
  </si>
  <si>
    <t>Q1-017</t>
  </si>
  <si>
    <t>Q1-018</t>
  </si>
  <si>
    <t>Q1-019</t>
  </si>
  <si>
    <t>Q1-020</t>
  </si>
  <si>
    <t>Q1-021</t>
  </si>
  <si>
    <t>Q1-022</t>
  </si>
  <si>
    <t>Q1-023</t>
  </si>
  <si>
    <t>Q1-024</t>
  </si>
  <si>
    <t>Q1-025</t>
  </si>
  <si>
    <t>Q1-026</t>
  </si>
  <si>
    <t>Q1-027</t>
  </si>
  <si>
    <t>Q1-028</t>
  </si>
  <si>
    <t>Q1-029</t>
  </si>
  <si>
    <t>Q1-030</t>
  </si>
  <si>
    <t>South</t>
  </si>
  <si>
    <t>West</t>
  </si>
  <si>
    <t>East</t>
  </si>
  <si>
    <t>North</t>
  </si>
  <si>
    <t>Tablet</t>
  </si>
  <si>
    <t>Headphones</t>
  </si>
  <si>
    <t>Monitor</t>
  </si>
  <si>
    <t>Smartphone</t>
  </si>
  <si>
    <t>Laptop</t>
  </si>
  <si>
    <t>Printer</t>
  </si>
  <si>
    <t>Q2-001</t>
  </si>
  <si>
    <t>Q2-002</t>
  </si>
  <si>
    <t>Q2-003</t>
  </si>
  <si>
    <t>Q2-004</t>
  </si>
  <si>
    <t>Q2-005</t>
  </si>
  <si>
    <t>Q2-006</t>
  </si>
  <si>
    <t>Q2-007</t>
  </si>
  <si>
    <t>Q2-008</t>
  </si>
  <si>
    <t>Q2-009</t>
  </si>
  <si>
    <t>Q2-010</t>
  </si>
  <si>
    <t>Q2-011</t>
  </si>
  <si>
    <t>Q2-012</t>
  </si>
  <si>
    <t>Q2-013</t>
  </si>
  <si>
    <t>Q2-014</t>
  </si>
  <si>
    <t>Q2-015</t>
  </si>
  <si>
    <t>Q2-016</t>
  </si>
  <si>
    <t>Q2-017</t>
  </si>
  <si>
    <t>Q2-018</t>
  </si>
  <si>
    <t>Q2-019</t>
  </si>
  <si>
    <t>Q2-020</t>
  </si>
  <si>
    <t>Q2-021</t>
  </si>
  <si>
    <t>Q2-022</t>
  </si>
  <si>
    <t>Q2-023</t>
  </si>
  <si>
    <t>Q2-024</t>
  </si>
  <si>
    <t>Q2-025</t>
  </si>
  <si>
    <t>Q2-026</t>
  </si>
  <si>
    <t>Q2-027</t>
  </si>
  <si>
    <t>Q2-028</t>
  </si>
  <si>
    <t>Q2-029</t>
  </si>
  <si>
    <t>Q2-030</t>
  </si>
  <si>
    <t>Q3-001</t>
  </si>
  <si>
    <t>Q3-002</t>
  </si>
  <si>
    <t>Q3-003</t>
  </si>
  <si>
    <t>Q3-004</t>
  </si>
  <si>
    <t>Q3-005</t>
  </si>
  <si>
    <t>Q3-006</t>
  </si>
  <si>
    <t>Q3-007</t>
  </si>
  <si>
    <t>Q3-008</t>
  </si>
  <si>
    <t>Q3-009</t>
  </si>
  <si>
    <t>Q3-010</t>
  </si>
  <si>
    <t>Q3-011</t>
  </si>
  <si>
    <t>Q3-012</t>
  </si>
  <si>
    <t>Q3-013</t>
  </si>
  <si>
    <t>Q3-014</t>
  </si>
  <si>
    <t>Q3-015</t>
  </si>
  <si>
    <t>Q3-016</t>
  </si>
  <si>
    <t>Q3-017</t>
  </si>
  <si>
    <t>Q3-018</t>
  </si>
  <si>
    <t>Q3-019</t>
  </si>
  <si>
    <t>Q3-020</t>
  </si>
  <si>
    <t>Q3-021</t>
  </si>
  <si>
    <t>Q3-022</t>
  </si>
  <si>
    <t>Q3-023</t>
  </si>
  <si>
    <t>Q3-024</t>
  </si>
  <si>
    <t>Q3-025</t>
  </si>
  <si>
    <t>Q3-026</t>
  </si>
  <si>
    <t>Q3-027</t>
  </si>
  <si>
    <t>Q3-028</t>
  </si>
  <si>
    <t>Q3-029</t>
  </si>
  <si>
    <t>Q3-030</t>
  </si>
  <si>
    <t>Category</t>
  </si>
  <si>
    <t>UnitCost</t>
  </si>
  <si>
    <t>Discount</t>
  </si>
  <si>
    <t>Electronics</t>
  </si>
  <si>
    <t>Accessories</t>
  </si>
  <si>
    <t>Office</t>
  </si>
  <si>
    <t>Month</t>
  </si>
  <si>
    <t>Overheads</t>
  </si>
  <si>
    <t>Salaries</t>
  </si>
  <si>
    <t>OtherExpenses</t>
  </si>
  <si>
    <t>NetProfit</t>
  </si>
  <si>
    <t>DeliveryDays</t>
  </si>
  <si>
    <t>ReturnRate</t>
  </si>
  <si>
    <t>Operational Efficiency</t>
  </si>
  <si>
    <t>FirstName</t>
  </si>
  <si>
    <t>LastName</t>
  </si>
  <si>
    <t>Email</t>
  </si>
  <si>
    <t>Standardized</t>
  </si>
  <si>
    <t>Naledi</t>
  </si>
  <si>
    <t>Pillay</t>
  </si>
  <si>
    <t>naledi.pillay@example.com</t>
  </si>
  <si>
    <t>Naledi Pillay</t>
  </si>
  <si>
    <t>Michael</t>
  </si>
  <si>
    <t>van Wyk</t>
  </si>
  <si>
    <t>michael.van wyk@example.com</t>
  </si>
  <si>
    <t>Michael Van Wyk</t>
  </si>
  <si>
    <t>Botha</t>
  </si>
  <si>
    <t>naledi.botha@example.com</t>
  </si>
  <si>
    <t>Naledi Botha</t>
  </si>
  <si>
    <t>Johnson</t>
  </si>
  <si>
    <t>michael.johnson@example.com</t>
  </si>
  <si>
    <t>Michael Johnson</t>
  </si>
  <si>
    <t>Emily</t>
  </si>
  <si>
    <t>emily.johnson@example.com</t>
  </si>
  <si>
    <t>Emily Johnson</t>
  </si>
  <si>
    <t>Nguyen</t>
  </si>
  <si>
    <t>michael.nguyen@example.com</t>
  </si>
  <si>
    <t>Michael Nguyen</t>
  </si>
  <si>
    <t>Sipho</t>
  </si>
  <si>
    <t>sipho.johnson@example.com</t>
  </si>
  <si>
    <t>Sipho Johnson</t>
  </si>
  <si>
    <t>Sarah</t>
  </si>
  <si>
    <t>sarah.nguyen@example.com</t>
  </si>
  <si>
    <t>Sarah Nguyen</t>
  </si>
  <si>
    <t>John</t>
  </si>
  <si>
    <t>Brown</t>
  </si>
  <si>
    <t>john.brown@example.com</t>
  </si>
  <si>
    <t>John Brown</t>
  </si>
  <si>
    <t>Smith</t>
  </si>
  <si>
    <t>john.smith@example.com</t>
  </si>
  <si>
    <t>John Smith</t>
  </si>
  <si>
    <t>naledi.van wyk@example.com</t>
  </si>
  <si>
    <t>Naledi Van Wyk</t>
  </si>
  <si>
    <t>sipho.van wyk@example.com</t>
  </si>
  <si>
    <t>Sipho Van Wyk</t>
  </si>
  <si>
    <t>Mlambo</t>
  </si>
  <si>
    <t>john.mlambo@example.com</t>
  </si>
  <si>
    <t>John Mlambo</t>
  </si>
  <si>
    <t>sipho.nguyen@example.com</t>
  </si>
  <si>
    <t>Sipho Nguyen</t>
  </si>
  <si>
    <t>sipho.smith@example.com</t>
  </si>
  <si>
    <t>Sipho Smith</t>
  </si>
  <si>
    <t>michael.mlambo@example.com</t>
  </si>
  <si>
    <t>Michael Mlambo</t>
  </si>
  <si>
    <t>naledi.nguyen@example.com</t>
  </si>
  <si>
    <t>Naledi Nguyen</t>
  </si>
  <si>
    <t>David</t>
  </si>
  <si>
    <t>david.van wyk@example.com</t>
  </si>
  <si>
    <t>David Van Wyk</t>
  </si>
  <si>
    <t>Thabo</t>
  </si>
  <si>
    <t>thabo.botha@example.com</t>
  </si>
  <si>
    <t>Thabo Botha</t>
  </si>
  <si>
    <t>Lerato</t>
  </si>
  <si>
    <t>Naidoo</t>
  </si>
  <si>
    <t>lerato.naidoo@example.com</t>
  </si>
  <si>
    <t>Lerato Naidoo</t>
  </si>
  <si>
    <t>Aisha</t>
  </si>
  <si>
    <t>aisha.brown@example.com</t>
  </si>
  <si>
    <t>Aisha Brown</t>
  </si>
  <si>
    <t>lerato.van wyk@example.com</t>
  </si>
  <si>
    <t>Lerato Van Wyk</t>
  </si>
  <si>
    <t>example.com</t>
  </si>
  <si>
    <t xml:space="preserve">van </t>
  </si>
  <si>
    <t>Revenue</t>
  </si>
  <si>
    <t>Discounted Revenue</t>
  </si>
  <si>
    <t>Profit</t>
  </si>
  <si>
    <t>Extracted First Name</t>
  </si>
  <si>
    <t>Extracted Last Name</t>
  </si>
  <si>
    <t>Extracted Email</t>
  </si>
  <si>
    <t>Nested IFs</t>
  </si>
  <si>
    <t>Match &amp; Index</t>
  </si>
  <si>
    <t>DYNAMIC RANGE</t>
  </si>
  <si>
    <t>Dynamic Range</t>
  </si>
  <si>
    <t>UNIQUE LIST</t>
  </si>
  <si>
    <t>ORDERS</t>
  </si>
  <si>
    <t>DELIVERY</t>
  </si>
  <si>
    <t>Sum of Revenue</t>
  </si>
  <si>
    <t>Sum of Profit</t>
  </si>
  <si>
    <t>Row Labels</t>
  </si>
  <si>
    <t>Grand Total</t>
  </si>
  <si>
    <t>Column Labels</t>
  </si>
  <si>
    <t>Total Sum of Profit</t>
  </si>
  <si>
    <t>Total Sum of Revenue</t>
  </si>
  <si>
    <t>Sum of DeliveryDays</t>
  </si>
  <si>
    <t>Jan</t>
  </si>
  <si>
    <t>Feb</t>
  </si>
  <si>
    <t>Mar</t>
  </si>
  <si>
    <t>Apr</t>
  </si>
  <si>
    <t>May</t>
  </si>
  <si>
    <t>Jun</t>
  </si>
  <si>
    <t>Jul</t>
  </si>
  <si>
    <t>Aug</t>
  </si>
  <si>
    <t>Sept</t>
  </si>
  <si>
    <t>Count of Category</t>
  </si>
  <si>
    <t>TotalRevenue</t>
  </si>
  <si>
    <t>TotalProfit</t>
  </si>
  <si>
    <t>TopCustomer</t>
  </si>
  <si>
    <t>Count of Product</t>
  </si>
  <si>
    <t>Products</t>
  </si>
  <si>
    <t xml:space="preserve"> </t>
  </si>
  <si>
    <t>Sum of 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</si>
</sst>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0.00_-;\-&quot;R&quot;* #,##0.00_-;_-&quot;R&quot;* &quot;-&quot;??_-;_-@_-"/>
    <numFmt numFmtId="164" formatCode="yyyy\-mm\-dd\ hh:mm:ss"/>
    <numFmt numFmtId="171" formatCode="_-[$R-1C09]* #,##0.00_-;\-[$R-1C09]* #,##0.00_-;_-[$R-1C09]* &quot;-&quot;??_-;_-@_-"/>
  </numFmts>
  <fonts count="6" x14ac:knownFonts="1">
    <font>
      <sz val="11"/>
      <color theme="1"/>
      <name val="Calibri"/>
      <family val="2"/>
      <scheme val="minor"/>
    </font>
    <font>
      <b/>
      <sz val="11"/>
      <color theme="1"/>
      <name val="Calibri"/>
      <family val="2"/>
      <scheme val="minor"/>
    </font>
    <font>
      <sz val="11"/>
      <color theme="1"/>
      <name val="Calibri"/>
      <family val="2"/>
      <scheme val="minor"/>
    </font>
    <font>
      <sz val="8"/>
      <name val="Calibri"/>
      <family val="2"/>
      <scheme val="minor"/>
    </font>
    <font>
      <b/>
      <sz val="16"/>
      <color theme="4" tint="-0.249977111117893"/>
      <name val="Calibri"/>
      <family val="2"/>
      <scheme val="minor"/>
    </font>
    <font>
      <b/>
      <sz val="14"/>
      <color theme="8" tint="-0.249977111117893"/>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17">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NumberFormat="1"/>
    <xf numFmtId="2" fontId="0" fillId="0" borderId="0" xfId="0" applyNumberFormat="1"/>
    <xf numFmtId="14" fontId="0" fillId="0" borderId="0" xfId="0" applyNumberFormat="1"/>
    <xf numFmtId="9" fontId="0" fillId="0" borderId="0" xfId="2" applyFont="1"/>
    <xf numFmtId="171" fontId="0" fillId="0" borderId="0" xfId="0" applyNumberFormat="1"/>
    <xf numFmtId="44" fontId="0" fillId="0" borderId="0" xfId="1" applyFont="1"/>
    <xf numFmtId="44" fontId="0" fillId="0" borderId="0" xfId="0" applyNumberFormat="1"/>
    <xf numFmtId="0" fontId="0" fillId="0" borderId="0" xfId="0" applyAlignment="1">
      <alignment horizontal="left"/>
    </xf>
    <xf numFmtId="0" fontId="0" fillId="0" borderId="0" xfId="0" applyAlignment="1">
      <alignment horizontal="left"/>
    </xf>
    <xf numFmtId="0" fontId="4" fillId="0" borderId="0" xfId="0" applyFont="1" applyAlignment="1">
      <alignment horizontal="left"/>
    </xf>
    <xf numFmtId="0" fontId="1" fillId="0" borderId="0" xfId="0" applyFont="1" applyAlignment="1">
      <alignment horizontal="left"/>
    </xf>
    <xf numFmtId="14" fontId="5" fillId="0" borderId="0" xfId="0" applyNumberFormat="1" applyFont="1"/>
    <xf numFmtId="0" fontId="0" fillId="0" borderId="0" xfId="0" pivotButton="1"/>
    <xf numFmtId="10" fontId="0" fillId="0" borderId="0" xfId="0" applyNumberFormat="1"/>
  </cellXfs>
  <cellStyles count="3">
    <cellStyle name="Currency" xfId="1" builtinId="4"/>
    <cellStyle name="Normal" xfId="0" builtinId="0"/>
    <cellStyle name="Percent" xfId="2" builtinId="5"/>
  </cellStyles>
  <dxfs count="28">
    <dxf>
      <font>
        <color rgb="FF9C0006"/>
      </font>
      <fill>
        <patternFill>
          <bgColor rgb="FFFFC7CE"/>
        </patternFill>
      </fill>
    </dxf>
    <dxf>
      <fill>
        <patternFill>
          <bgColor theme="8" tint="-0.24994659260841701"/>
        </patternFill>
      </fill>
    </dxf>
    <dxf>
      <numFmt numFmtId="0" formatCode="General"/>
    </dxf>
    <dxf>
      <numFmt numFmtId="0" formatCode="General"/>
    </dxf>
    <dxf>
      <numFmt numFmtId="19"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8"/>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_-[$R-1C09]* #,##0.00_-;\-[$R-1C09]* #,##0.00_-;_-[$R-1C09]* &quot;-&quot;??_-;_-@_-"/>
    </dxf>
    <dxf>
      <numFmt numFmtId="19" formatCode="yyyy/mm/dd"/>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5.xml"/><Relationship Id="rId26" Type="http://schemas.openxmlformats.org/officeDocument/2006/relationships/connections" Target="connections.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1/relationships/timelineCache" Target="timelineCaches/timelineCache3.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11/relationships/timelineCache" Target="timelineCaches/timelineCache2.xml"/><Relationship Id="rId28"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6.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11/relationships/timelineCache" Target="timelineCaches/timelineCache1.xml"/><Relationship Id="rId27" Type="http://schemas.openxmlformats.org/officeDocument/2006/relationships/styles" Target="styles.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ZA"/>
              <a:t>Combo chart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Sales_All!$K$1</c:f>
              <c:strCache>
                <c:ptCount val="1"/>
                <c:pt idx="0">
                  <c:v>Revenue</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val>
            <c:numRef>
              <c:f>Sales_All!$K$2:$K$91</c:f>
              <c:numCache>
                <c:formatCode>General</c:formatCode>
                <c:ptCount val="90"/>
                <c:pt idx="0">
                  <c:v>1841</c:v>
                </c:pt>
                <c:pt idx="1">
                  <c:v>5256</c:v>
                </c:pt>
                <c:pt idx="2">
                  <c:v>5076</c:v>
                </c:pt>
                <c:pt idx="3">
                  <c:v>1418</c:v>
                </c:pt>
                <c:pt idx="4">
                  <c:v>5595</c:v>
                </c:pt>
                <c:pt idx="5">
                  <c:v>1220</c:v>
                </c:pt>
                <c:pt idx="6">
                  <c:v>4065</c:v>
                </c:pt>
                <c:pt idx="7">
                  <c:v>3753</c:v>
                </c:pt>
                <c:pt idx="8">
                  <c:v>6066</c:v>
                </c:pt>
                <c:pt idx="9">
                  <c:v>1815</c:v>
                </c:pt>
                <c:pt idx="10">
                  <c:v>7412</c:v>
                </c:pt>
                <c:pt idx="11">
                  <c:v>1621</c:v>
                </c:pt>
                <c:pt idx="12">
                  <c:v>5808</c:v>
                </c:pt>
                <c:pt idx="13">
                  <c:v>5670</c:v>
                </c:pt>
                <c:pt idx="14">
                  <c:v>730</c:v>
                </c:pt>
                <c:pt idx="15">
                  <c:v>14160</c:v>
                </c:pt>
                <c:pt idx="16">
                  <c:v>1134</c:v>
                </c:pt>
                <c:pt idx="17">
                  <c:v>1687</c:v>
                </c:pt>
                <c:pt idx="18">
                  <c:v>7288</c:v>
                </c:pt>
                <c:pt idx="19">
                  <c:v>14536</c:v>
                </c:pt>
                <c:pt idx="20">
                  <c:v>1010</c:v>
                </c:pt>
                <c:pt idx="21">
                  <c:v>5572</c:v>
                </c:pt>
                <c:pt idx="22">
                  <c:v>8043</c:v>
                </c:pt>
                <c:pt idx="23">
                  <c:v>3320</c:v>
                </c:pt>
                <c:pt idx="24">
                  <c:v>9352</c:v>
                </c:pt>
                <c:pt idx="25">
                  <c:v>17784</c:v>
                </c:pt>
                <c:pt idx="26">
                  <c:v>585</c:v>
                </c:pt>
                <c:pt idx="27">
                  <c:v>3030</c:v>
                </c:pt>
                <c:pt idx="28">
                  <c:v>9760</c:v>
                </c:pt>
                <c:pt idx="29">
                  <c:v>566</c:v>
                </c:pt>
                <c:pt idx="30">
                  <c:v>648</c:v>
                </c:pt>
                <c:pt idx="31">
                  <c:v>2070</c:v>
                </c:pt>
                <c:pt idx="32">
                  <c:v>5343</c:v>
                </c:pt>
                <c:pt idx="33">
                  <c:v>12312</c:v>
                </c:pt>
                <c:pt idx="34">
                  <c:v>218</c:v>
                </c:pt>
                <c:pt idx="35">
                  <c:v>10648</c:v>
                </c:pt>
                <c:pt idx="36">
                  <c:v>444</c:v>
                </c:pt>
                <c:pt idx="37">
                  <c:v>7425</c:v>
                </c:pt>
                <c:pt idx="38">
                  <c:v>4416</c:v>
                </c:pt>
                <c:pt idx="39">
                  <c:v>7273</c:v>
                </c:pt>
                <c:pt idx="40">
                  <c:v>3640</c:v>
                </c:pt>
                <c:pt idx="41">
                  <c:v>11331</c:v>
                </c:pt>
                <c:pt idx="42">
                  <c:v>7314</c:v>
                </c:pt>
                <c:pt idx="43">
                  <c:v>9755</c:v>
                </c:pt>
                <c:pt idx="44">
                  <c:v>2241</c:v>
                </c:pt>
                <c:pt idx="45">
                  <c:v>398</c:v>
                </c:pt>
                <c:pt idx="46">
                  <c:v>2828</c:v>
                </c:pt>
                <c:pt idx="47">
                  <c:v>9684</c:v>
                </c:pt>
                <c:pt idx="48">
                  <c:v>1187</c:v>
                </c:pt>
                <c:pt idx="49">
                  <c:v>7856</c:v>
                </c:pt>
                <c:pt idx="50">
                  <c:v>2338</c:v>
                </c:pt>
                <c:pt idx="51">
                  <c:v>7716</c:v>
                </c:pt>
                <c:pt idx="52">
                  <c:v>13472</c:v>
                </c:pt>
                <c:pt idx="53">
                  <c:v>7686</c:v>
                </c:pt>
                <c:pt idx="54">
                  <c:v>3804</c:v>
                </c:pt>
                <c:pt idx="55">
                  <c:v>1618</c:v>
                </c:pt>
                <c:pt idx="56">
                  <c:v>3090</c:v>
                </c:pt>
                <c:pt idx="57">
                  <c:v>1437</c:v>
                </c:pt>
                <c:pt idx="58">
                  <c:v>8760</c:v>
                </c:pt>
                <c:pt idx="59">
                  <c:v>357</c:v>
                </c:pt>
                <c:pt idx="60">
                  <c:v>640</c:v>
                </c:pt>
                <c:pt idx="61">
                  <c:v>1186</c:v>
                </c:pt>
                <c:pt idx="62">
                  <c:v>1809</c:v>
                </c:pt>
                <c:pt idx="63">
                  <c:v>13656</c:v>
                </c:pt>
                <c:pt idx="64">
                  <c:v>15896</c:v>
                </c:pt>
                <c:pt idx="65">
                  <c:v>5844</c:v>
                </c:pt>
                <c:pt idx="66">
                  <c:v>4248</c:v>
                </c:pt>
                <c:pt idx="67">
                  <c:v>233</c:v>
                </c:pt>
                <c:pt idx="68">
                  <c:v>7268</c:v>
                </c:pt>
                <c:pt idx="69">
                  <c:v>1188</c:v>
                </c:pt>
                <c:pt idx="70">
                  <c:v>9200</c:v>
                </c:pt>
                <c:pt idx="71">
                  <c:v>4902</c:v>
                </c:pt>
                <c:pt idx="72">
                  <c:v>3840</c:v>
                </c:pt>
                <c:pt idx="73">
                  <c:v>1632</c:v>
                </c:pt>
                <c:pt idx="74">
                  <c:v>16146</c:v>
                </c:pt>
                <c:pt idx="75">
                  <c:v>1016</c:v>
                </c:pt>
                <c:pt idx="76">
                  <c:v>3484</c:v>
                </c:pt>
                <c:pt idx="77">
                  <c:v>3490</c:v>
                </c:pt>
                <c:pt idx="78">
                  <c:v>1767</c:v>
                </c:pt>
                <c:pt idx="79">
                  <c:v>2808</c:v>
                </c:pt>
                <c:pt idx="80">
                  <c:v>3785</c:v>
                </c:pt>
                <c:pt idx="81">
                  <c:v>2530</c:v>
                </c:pt>
                <c:pt idx="82">
                  <c:v>1953</c:v>
                </c:pt>
                <c:pt idx="83">
                  <c:v>600</c:v>
                </c:pt>
                <c:pt idx="84">
                  <c:v>4256</c:v>
                </c:pt>
                <c:pt idx="85">
                  <c:v>3399</c:v>
                </c:pt>
                <c:pt idx="86">
                  <c:v>432</c:v>
                </c:pt>
                <c:pt idx="87">
                  <c:v>7080</c:v>
                </c:pt>
                <c:pt idx="88">
                  <c:v>1272</c:v>
                </c:pt>
                <c:pt idx="89">
                  <c:v>3220</c:v>
                </c:pt>
              </c:numCache>
            </c:numRef>
          </c:val>
          <c:extLst>
            <c:ext xmlns:c16="http://schemas.microsoft.com/office/drawing/2014/chart" uri="{C3380CC4-5D6E-409C-BE32-E72D297353CC}">
              <c16:uniqueId val="{00000000-CC3C-433E-9523-2C569B686652}"/>
            </c:ext>
          </c:extLst>
        </c:ser>
        <c:ser>
          <c:idx val="1"/>
          <c:order val="1"/>
          <c:tx>
            <c:strRef>
              <c:f>Sales_All!$L$1</c:f>
              <c:strCache>
                <c:ptCount val="1"/>
                <c:pt idx="0">
                  <c:v>Discounted Revenue</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val>
            <c:numRef>
              <c:f>Sales_All!$L$2:$L$91</c:f>
              <c:numCache>
                <c:formatCode>General</c:formatCode>
                <c:ptCount val="90"/>
                <c:pt idx="0">
                  <c:v>1656.9</c:v>
                </c:pt>
                <c:pt idx="1">
                  <c:v>4099.68</c:v>
                </c:pt>
                <c:pt idx="2">
                  <c:v>3959.28</c:v>
                </c:pt>
                <c:pt idx="3">
                  <c:v>1106.04</c:v>
                </c:pt>
                <c:pt idx="4">
                  <c:v>4308.1500000000005</c:v>
                </c:pt>
                <c:pt idx="5">
                  <c:v>1098</c:v>
                </c:pt>
                <c:pt idx="6">
                  <c:v>3130.05</c:v>
                </c:pt>
                <c:pt idx="7">
                  <c:v>2927.34</c:v>
                </c:pt>
                <c:pt idx="8">
                  <c:v>4670.82</c:v>
                </c:pt>
                <c:pt idx="9">
                  <c:v>1669.8000000000002</c:v>
                </c:pt>
                <c:pt idx="10">
                  <c:v>6670.8</c:v>
                </c:pt>
                <c:pt idx="11">
                  <c:v>1458.9</c:v>
                </c:pt>
                <c:pt idx="12">
                  <c:v>5343.3600000000006</c:v>
                </c:pt>
                <c:pt idx="13">
                  <c:v>4876.2</c:v>
                </c:pt>
                <c:pt idx="14">
                  <c:v>627.79999999999995</c:v>
                </c:pt>
                <c:pt idx="15">
                  <c:v>10903.2</c:v>
                </c:pt>
                <c:pt idx="16">
                  <c:v>1020.6</c:v>
                </c:pt>
                <c:pt idx="17">
                  <c:v>1518.3</c:v>
                </c:pt>
                <c:pt idx="18">
                  <c:v>6559.2</c:v>
                </c:pt>
                <c:pt idx="19">
                  <c:v>11338.08</c:v>
                </c:pt>
                <c:pt idx="20">
                  <c:v>909</c:v>
                </c:pt>
                <c:pt idx="21">
                  <c:v>4290.4400000000005</c:v>
                </c:pt>
                <c:pt idx="22">
                  <c:v>6193.1100000000006</c:v>
                </c:pt>
                <c:pt idx="23">
                  <c:v>2988</c:v>
                </c:pt>
                <c:pt idx="24">
                  <c:v>8416.8000000000011</c:v>
                </c:pt>
                <c:pt idx="25">
                  <c:v>15294.24</c:v>
                </c:pt>
                <c:pt idx="26">
                  <c:v>450.45</c:v>
                </c:pt>
                <c:pt idx="27">
                  <c:v>2727</c:v>
                </c:pt>
                <c:pt idx="28">
                  <c:v>8784</c:v>
                </c:pt>
                <c:pt idx="29">
                  <c:v>509.40000000000003</c:v>
                </c:pt>
                <c:pt idx="30">
                  <c:v>583.20000000000005</c:v>
                </c:pt>
                <c:pt idx="31">
                  <c:v>1863</c:v>
                </c:pt>
                <c:pt idx="32">
                  <c:v>4808.7</c:v>
                </c:pt>
                <c:pt idx="33">
                  <c:v>9603.36</c:v>
                </c:pt>
                <c:pt idx="34">
                  <c:v>196.20000000000002</c:v>
                </c:pt>
                <c:pt idx="35">
                  <c:v>8305.44</c:v>
                </c:pt>
                <c:pt idx="36">
                  <c:v>408.48</c:v>
                </c:pt>
                <c:pt idx="37">
                  <c:v>6682.5</c:v>
                </c:pt>
                <c:pt idx="38">
                  <c:v>4062.7200000000003</c:v>
                </c:pt>
                <c:pt idx="39">
                  <c:v>6254.78</c:v>
                </c:pt>
                <c:pt idx="40">
                  <c:v>3276</c:v>
                </c:pt>
                <c:pt idx="41">
                  <c:v>10197.9</c:v>
                </c:pt>
                <c:pt idx="42">
                  <c:v>6728.88</c:v>
                </c:pt>
                <c:pt idx="43">
                  <c:v>7511.35</c:v>
                </c:pt>
                <c:pt idx="44">
                  <c:v>2061.7200000000003</c:v>
                </c:pt>
                <c:pt idx="45">
                  <c:v>358.2</c:v>
                </c:pt>
                <c:pt idx="46">
                  <c:v>2545.2000000000003</c:v>
                </c:pt>
                <c:pt idx="47">
                  <c:v>8715.6</c:v>
                </c:pt>
                <c:pt idx="48">
                  <c:v>1092.04</c:v>
                </c:pt>
                <c:pt idx="49">
                  <c:v>7070.4000000000005</c:v>
                </c:pt>
                <c:pt idx="50">
                  <c:v>2104.2000000000003</c:v>
                </c:pt>
                <c:pt idx="51">
                  <c:v>6635.76</c:v>
                </c:pt>
                <c:pt idx="52">
                  <c:v>12124.800000000001</c:v>
                </c:pt>
                <c:pt idx="53">
                  <c:v>5918.22</c:v>
                </c:pt>
                <c:pt idx="54">
                  <c:v>2967.12</c:v>
                </c:pt>
                <c:pt idx="55">
                  <c:v>1488.5600000000002</c:v>
                </c:pt>
                <c:pt idx="56">
                  <c:v>2781</c:v>
                </c:pt>
                <c:pt idx="57">
                  <c:v>1120.8600000000001</c:v>
                </c:pt>
                <c:pt idx="58">
                  <c:v>6745.2</c:v>
                </c:pt>
                <c:pt idx="59">
                  <c:v>278.46000000000004</c:v>
                </c:pt>
                <c:pt idx="60">
                  <c:v>492.8</c:v>
                </c:pt>
                <c:pt idx="61">
                  <c:v>913.22</c:v>
                </c:pt>
                <c:pt idx="62">
                  <c:v>1411.02</c:v>
                </c:pt>
                <c:pt idx="63">
                  <c:v>11744.16</c:v>
                </c:pt>
                <c:pt idx="64">
                  <c:v>12239.92</c:v>
                </c:pt>
                <c:pt idx="65">
                  <c:v>5376.4800000000005</c:v>
                </c:pt>
                <c:pt idx="66">
                  <c:v>3908.1600000000003</c:v>
                </c:pt>
                <c:pt idx="67">
                  <c:v>179.41</c:v>
                </c:pt>
                <c:pt idx="68">
                  <c:v>5669.04</c:v>
                </c:pt>
                <c:pt idx="69">
                  <c:v>926.64</c:v>
                </c:pt>
                <c:pt idx="70">
                  <c:v>7176</c:v>
                </c:pt>
                <c:pt idx="71">
                  <c:v>4215.72</c:v>
                </c:pt>
                <c:pt idx="72">
                  <c:v>2995.2000000000003</c:v>
                </c:pt>
                <c:pt idx="73">
                  <c:v>1272.96</c:v>
                </c:pt>
                <c:pt idx="74">
                  <c:v>14531.4</c:v>
                </c:pt>
                <c:pt idx="75">
                  <c:v>873.76</c:v>
                </c:pt>
                <c:pt idx="76">
                  <c:v>3135.6</c:v>
                </c:pt>
                <c:pt idx="77">
                  <c:v>2687.3</c:v>
                </c:pt>
                <c:pt idx="78">
                  <c:v>1378.26</c:v>
                </c:pt>
                <c:pt idx="79">
                  <c:v>2583.36</c:v>
                </c:pt>
                <c:pt idx="80">
                  <c:v>2914.4500000000003</c:v>
                </c:pt>
                <c:pt idx="81">
                  <c:v>2277</c:v>
                </c:pt>
                <c:pt idx="82">
                  <c:v>1503.81</c:v>
                </c:pt>
                <c:pt idx="83">
                  <c:v>540</c:v>
                </c:pt>
                <c:pt idx="84">
                  <c:v>3319.6800000000003</c:v>
                </c:pt>
                <c:pt idx="85">
                  <c:v>2651.2200000000003</c:v>
                </c:pt>
                <c:pt idx="86">
                  <c:v>388.8</c:v>
                </c:pt>
                <c:pt idx="87">
                  <c:v>5522.4000000000005</c:v>
                </c:pt>
                <c:pt idx="88">
                  <c:v>1093.92</c:v>
                </c:pt>
                <c:pt idx="89">
                  <c:v>2479.4</c:v>
                </c:pt>
              </c:numCache>
            </c:numRef>
          </c:val>
          <c:extLst>
            <c:ext xmlns:c16="http://schemas.microsoft.com/office/drawing/2014/chart" uri="{C3380CC4-5D6E-409C-BE32-E72D297353CC}">
              <c16:uniqueId val="{00000001-CC3C-433E-9523-2C569B686652}"/>
            </c:ext>
          </c:extLst>
        </c:ser>
        <c:dLbls>
          <c:showLegendKey val="0"/>
          <c:showVal val="0"/>
          <c:showCatName val="0"/>
          <c:showSerName val="0"/>
          <c:showPercent val="0"/>
          <c:showBubbleSize val="0"/>
        </c:dLbls>
        <c:gapWidth val="150"/>
        <c:axId val="466164624"/>
        <c:axId val="22982000"/>
      </c:barChart>
      <c:lineChart>
        <c:grouping val="standard"/>
        <c:varyColors val="0"/>
        <c:ser>
          <c:idx val="2"/>
          <c:order val="2"/>
          <c:tx>
            <c:strRef>
              <c:f>Sales_All!$M$1</c:f>
              <c:strCache>
                <c:ptCount val="1"/>
                <c:pt idx="0">
                  <c:v>Profit</c:v>
                </c:pt>
              </c:strCache>
            </c:strRef>
          </c:tx>
          <c:spPr>
            <a:ln w="28575" cap="rnd">
              <a:solidFill>
                <a:schemeClr val="accent3"/>
              </a:solidFill>
              <a:round/>
            </a:ln>
            <a:effectLst/>
          </c:spPr>
          <c:marker>
            <c:symbol val="none"/>
          </c:marker>
          <c:val>
            <c:numRef>
              <c:f>Sales_All!$M$2:$M$91</c:f>
              <c:numCache>
                <c:formatCode>_("R"* #,##0.00_);_("R"* \(#,##0.00\);_("R"* "-"??_);_(@_)</c:formatCode>
                <c:ptCount val="90"/>
                <c:pt idx="0">
                  <c:v>24122</c:v>
                </c:pt>
                <c:pt idx="1">
                  <c:v>-21791</c:v>
                </c:pt>
                <c:pt idx="2">
                  <c:v>-21971</c:v>
                </c:pt>
                <c:pt idx="3">
                  <c:v>-25160</c:v>
                </c:pt>
                <c:pt idx="4">
                  <c:v>-22360</c:v>
                </c:pt>
                <c:pt idx="5">
                  <c:v>-24556</c:v>
                </c:pt>
                <c:pt idx="6">
                  <c:v>-22964</c:v>
                </c:pt>
                <c:pt idx="7">
                  <c:v>-26108</c:v>
                </c:pt>
                <c:pt idx="8">
                  <c:v>3288</c:v>
                </c:pt>
                <c:pt idx="9">
                  <c:v>-24116</c:v>
                </c:pt>
                <c:pt idx="10">
                  <c:v>-36452</c:v>
                </c:pt>
                <c:pt idx="11">
                  <c:v>1298</c:v>
                </c:pt>
                <c:pt idx="12">
                  <c:v>-38288</c:v>
                </c:pt>
                <c:pt idx="13">
                  <c:v>-40110</c:v>
                </c:pt>
                <c:pt idx="14">
                  <c:v>-43082</c:v>
                </c:pt>
                <c:pt idx="15">
                  <c:v>10456</c:v>
                </c:pt>
                <c:pt idx="16">
                  <c:v>-43155</c:v>
                </c:pt>
                <c:pt idx="17">
                  <c:v>-574</c:v>
                </c:pt>
                <c:pt idx="18">
                  <c:v>4704</c:v>
                </c:pt>
                <c:pt idx="19">
                  <c:v>-9295</c:v>
                </c:pt>
                <c:pt idx="20">
                  <c:v>738</c:v>
                </c:pt>
                <c:pt idx="21">
                  <c:v>2331</c:v>
                </c:pt>
                <c:pt idx="22">
                  <c:v>4802</c:v>
                </c:pt>
                <c:pt idx="23">
                  <c:v>3048</c:v>
                </c:pt>
                <c:pt idx="24">
                  <c:v>8400</c:v>
                </c:pt>
                <c:pt idx="25">
                  <c:v>-20791</c:v>
                </c:pt>
                <c:pt idx="26">
                  <c:v>-34025</c:v>
                </c:pt>
                <c:pt idx="27">
                  <c:v>2622</c:v>
                </c:pt>
                <c:pt idx="28">
                  <c:v>8672</c:v>
                </c:pt>
                <c:pt idx="29">
                  <c:v>-80</c:v>
                </c:pt>
                <c:pt idx="30">
                  <c:v>512</c:v>
                </c:pt>
                <c:pt idx="31">
                  <c:v>1424</c:v>
                </c:pt>
                <c:pt idx="32">
                  <c:v>4374</c:v>
                </c:pt>
                <c:pt idx="33">
                  <c:v>8560</c:v>
                </c:pt>
                <c:pt idx="34">
                  <c:v>-54</c:v>
                </c:pt>
                <c:pt idx="35">
                  <c:v>6896</c:v>
                </c:pt>
                <c:pt idx="36">
                  <c:v>250</c:v>
                </c:pt>
                <c:pt idx="37">
                  <c:v>6745</c:v>
                </c:pt>
                <c:pt idx="38">
                  <c:v>4125</c:v>
                </c:pt>
                <c:pt idx="39">
                  <c:v>3829</c:v>
                </c:pt>
                <c:pt idx="40">
                  <c:v>1379</c:v>
                </c:pt>
                <c:pt idx="41">
                  <c:v>8424</c:v>
                </c:pt>
                <c:pt idx="42">
                  <c:v>6732</c:v>
                </c:pt>
                <c:pt idx="43">
                  <c:v>7440</c:v>
                </c:pt>
                <c:pt idx="44">
                  <c:v>1368</c:v>
                </c:pt>
                <c:pt idx="45">
                  <c:v>262</c:v>
                </c:pt>
                <c:pt idx="46">
                  <c:v>2556</c:v>
                </c:pt>
                <c:pt idx="47">
                  <c:v>6777</c:v>
                </c:pt>
                <c:pt idx="48">
                  <c:v>1090</c:v>
                </c:pt>
                <c:pt idx="49">
                  <c:v>6564</c:v>
                </c:pt>
                <c:pt idx="50">
                  <c:v>2066</c:v>
                </c:pt>
                <c:pt idx="51">
                  <c:v>5748</c:v>
                </c:pt>
                <c:pt idx="52">
                  <c:v>10888</c:v>
                </c:pt>
                <c:pt idx="53">
                  <c:v>3519</c:v>
                </c:pt>
                <c:pt idx="54">
                  <c:v>990</c:v>
                </c:pt>
                <c:pt idx="55">
                  <c:v>1424</c:v>
                </c:pt>
                <c:pt idx="56">
                  <c:v>2444</c:v>
                </c:pt>
                <c:pt idx="57">
                  <c:v>968</c:v>
                </c:pt>
                <c:pt idx="58">
                  <c:v>5982</c:v>
                </c:pt>
                <c:pt idx="59">
                  <c:v>-1050</c:v>
                </c:pt>
                <c:pt idx="60">
                  <c:v>-1212</c:v>
                </c:pt>
                <c:pt idx="61">
                  <c:v>723</c:v>
                </c:pt>
                <c:pt idx="62">
                  <c:v>402</c:v>
                </c:pt>
                <c:pt idx="63">
                  <c:v>9720</c:v>
                </c:pt>
                <c:pt idx="64">
                  <c:v>12192</c:v>
                </c:pt>
                <c:pt idx="65">
                  <c:v>5456</c:v>
                </c:pt>
                <c:pt idx="66">
                  <c:v>3375</c:v>
                </c:pt>
                <c:pt idx="67">
                  <c:v>-230</c:v>
                </c:pt>
                <c:pt idx="68">
                  <c:v>5392</c:v>
                </c:pt>
                <c:pt idx="69">
                  <c:v>-3033</c:v>
                </c:pt>
                <c:pt idx="70">
                  <c:v>5448</c:v>
                </c:pt>
                <c:pt idx="71">
                  <c:v>3426</c:v>
                </c:pt>
                <c:pt idx="72">
                  <c:v>1964</c:v>
                </c:pt>
                <c:pt idx="73">
                  <c:v>-1182</c:v>
                </c:pt>
                <c:pt idx="74">
                  <c:v>13239</c:v>
                </c:pt>
                <c:pt idx="75">
                  <c:v>32</c:v>
                </c:pt>
                <c:pt idx="76">
                  <c:v>2838</c:v>
                </c:pt>
                <c:pt idx="77">
                  <c:v>1175</c:v>
                </c:pt>
                <c:pt idx="78">
                  <c:v>360</c:v>
                </c:pt>
                <c:pt idx="79">
                  <c:v>1935</c:v>
                </c:pt>
                <c:pt idx="80">
                  <c:v>1470</c:v>
                </c:pt>
                <c:pt idx="81">
                  <c:v>1884</c:v>
                </c:pt>
                <c:pt idx="82">
                  <c:v>564</c:v>
                </c:pt>
                <c:pt idx="83">
                  <c:v>328</c:v>
                </c:pt>
                <c:pt idx="84">
                  <c:v>973</c:v>
                </c:pt>
                <c:pt idx="85">
                  <c:v>1992</c:v>
                </c:pt>
                <c:pt idx="86">
                  <c:v>24</c:v>
                </c:pt>
                <c:pt idx="87">
                  <c:v>4735</c:v>
                </c:pt>
                <c:pt idx="88">
                  <c:v>780</c:v>
                </c:pt>
                <c:pt idx="89">
                  <c:v>905</c:v>
                </c:pt>
              </c:numCache>
            </c:numRef>
          </c:val>
          <c:smooth val="0"/>
          <c:extLst>
            <c:ext xmlns:c16="http://schemas.microsoft.com/office/drawing/2014/chart" uri="{C3380CC4-5D6E-409C-BE32-E72D297353CC}">
              <c16:uniqueId val="{00000002-CC3C-433E-9523-2C569B686652}"/>
            </c:ext>
          </c:extLst>
        </c:ser>
        <c:dLbls>
          <c:showLegendKey val="0"/>
          <c:showVal val="0"/>
          <c:showCatName val="0"/>
          <c:showSerName val="0"/>
          <c:showPercent val="0"/>
          <c:showBubbleSize val="0"/>
        </c:dLbls>
        <c:marker val="1"/>
        <c:smooth val="0"/>
        <c:axId val="466164624"/>
        <c:axId val="22982000"/>
      </c:lineChart>
      <c:catAx>
        <c:axId val="466164624"/>
        <c:scaling>
          <c:orientation val="minMax"/>
        </c:scaling>
        <c:delete val="0"/>
        <c:axPos val="b"/>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2000"/>
        <c:auto val="1"/>
        <c:lblAlgn val="ctr"/>
        <c:lblOffset val="100"/>
        <c:noMultiLvlLbl val="0"/>
      </c:catAx>
      <c:valAx>
        <c:axId val="22982000"/>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6164624"/>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Finance!$D$1</c:f>
              <c:strCache>
                <c:ptCount val="1"/>
                <c:pt idx="0">
                  <c:v> OtherExpenses </c:v>
                </c:pt>
              </c:strCache>
            </c:strRef>
          </c:tx>
          <c:spPr>
            <a:solidFill>
              <a:schemeClr val="accent1"/>
            </a:solidFill>
            <a:ln>
              <a:noFill/>
            </a:ln>
            <a:effectLst/>
          </c:spPr>
          <c:invertIfNegative val="0"/>
          <c:val>
            <c:numRef>
              <c:f>Finance!$D$2:$D$10</c:f>
              <c:numCache>
                <c:formatCode>_("R"* #,##0.00_);_("R"* \(#,##0.00\);_("R"* "-"??_);_(@_)</c:formatCode>
                <c:ptCount val="9"/>
                <c:pt idx="0">
                  <c:v>21492</c:v>
                </c:pt>
                <c:pt idx="1">
                  <c:v>27724</c:v>
                </c:pt>
                <c:pt idx="2">
                  <c:v>17738</c:v>
                </c:pt>
                <c:pt idx="3">
                  <c:v>21152</c:v>
                </c:pt>
                <c:pt idx="4">
                  <c:v>19723</c:v>
                </c:pt>
                <c:pt idx="5">
                  <c:v>15769</c:v>
                </c:pt>
                <c:pt idx="6">
                  <c:v>25453</c:v>
                </c:pt>
                <c:pt idx="7">
                  <c:v>16230</c:v>
                </c:pt>
                <c:pt idx="8">
                  <c:v>28818</c:v>
                </c:pt>
              </c:numCache>
            </c:numRef>
          </c:val>
          <c:extLst>
            <c:ext xmlns:c16="http://schemas.microsoft.com/office/drawing/2014/chart" uri="{C3380CC4-5D6E-409C-BE32-E72D297353CC}">
              <c16:uniqueId val="{00000000-41DF-41F7-BFCD-5226FF9D93D7}"/>
            </c:ext>
          </c:extLst>
        </c:ser>
        <c:ser>
          <c:idx val="1"/>
          <c:order val="1"/>
          <c:tx>
            <c:strRef>
              <c:f>Finance!$E$1</c:f>
              <c:strCache>
                <c:ptCount val="1"/>
                <c:pt idx="0">
                  <c:v> NetProfit </c:v>
                </c:pt>
              </c:strCache>
            </c:strRef>
          </c:tx>
          <c:spPr>
            <a:solidFill>
              <a:schemeClr val="accent2"/>
            </a:solidFill>
            <a:ln>
              <a:noFill/>
            </a:ln>
            <a:effectLst/>
          </c:spPr>
          <c:invertIfNegative val="0"/>
          <c:val>
            <c:numRef>
              <c:f>Finance!$E$2:$E$10</c:f>
              <c:numCache>
                <c:formatCode>_-[$R-1C09]* #\ ##0.00_-;\-[$R-1C09]* #\ ##0.00_-;_-[$R-1C09]* "-"??_-;_-@_-</c:formatCode>
                <c:ptCount val="9"/>
                <c:pt idx="0">
                  <c:v>85722</c:v>
                </c:pt>
                <c:pt idx="1">
                  <c:v>113853</c:v>
                </c:pt>
                <c:pt idx="2">
                  <c:v>98037</c:v>
                </c:pt>
                <c:pt idx="3">
                  <c:v>135097</c:v>
                </c:pt>
                <c:pt idx="4">
                  <c:v>87765</c:v>
                </c:pt>
                <c:pt idx="5">
                  <c:v>120033</c:v>
                </c:pt>
                <c:pt idx="6">
                  <c:v>99601</c:v>
                </c:pt>
                <c:pt idx="7">
                  <c:v>130494</c:v>
                </c:pt>
                <c:pt idx="8">
                  <c:v>105020</c:v>
                </c:pt>
              </c:numCache>
            </c:numRef>
          </c:val>
          <c:extLst>
            <c:ext xmlns:c16="http://schemas.microsoft.com/office/drawing/2014/chart" uri="{C3380CC4-5D6E-409C-BE32-E72D297353CC}">
              <c16:uniqueId val="{00000001-41DF-41F7-BFCD-5226FF9D93D7}"/>
            </c:ext>
          </c:extLst>
        </c:ser>
        <c:dLbls>
          <c:showLegendKey val="0"/>
          <c:showVal val="0"/>
          <c:showCatName val="0"/>
          <c:showSerName val="0"/>
          <c:showPercent val="0"/>
          <c:showBubbleSize val="0"/>
        </c:dLbls>
        <c:gapWidth val="150"/>
        <c:overlap val="100"/>
        <c:axId val="1159649312"/>
        <c:axId val="22986800"/>
      </c:barChart>
      <c:catAx>
        <c:axId val="11596493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6800"/>
        <c:crosses val="autoZero"/>
        <c:auto val="1"/>
        <c:lblAlgn val="ctr"/>
        <c:lblOffset val="100"/>
        <c:noMultiLvlLbl val="0"/>
      </c:catAx>
      <c:valAx>
        <c:axId val="22986800"/>
        <c:scaling>
          <c:orientation val="minMax"/>
        </c:scaling>
        <c:delete val="0"/>
        <c:axPos val="l"/>
        <c:majorGridlines>
          <c:spPr>
            <a:ln w="9525" cap="flat" cmpd="sng" algn="ctr">
              <a:solidFill>
                <a:schemeClr val="tx1">
                  <a:lumMod val="15000"/>
                  <a:lumOff val="85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64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5</xdr:col>
      <xdr:colOff>480060</xdr:colOff>
      <xdr:row>1</xdr:row>
      <xdr:rowOff>167641</xdr:rowOff>
    </xdr:from>
    <xdr:to>
      <xdr:col>8</xdr:col>
      <xdr:colOff>480060</xdr:colOff>
      <xdr:row>9</xdr:row>
      <xdr:rowOff>91440</xdr:rowOff>
    </xdr:to>
    <mc:AlternateContent xmlns:mc="http://schemas.openxmlformats.org/markup-compatibility/2006">
      <mc:Choice xmlns:a14="http://schemas.microsoft.com/office/drawing/2010/main" Requires="a14">
        <xdr:graphicFrame macro="">
          <xdr:nvGraphicFramePr>
            <xdr:cNvPr id="2" name="Region 1">
              <a:extLst>
                <a:ext uri="{FF2B5EF4-FFF2-40B4-BE49-F238E27FC236}">
                  <a16:creationId xmlns:a16="http://schemas.microsoft.com/office/drawing/2014/main" id="{50464AA0-5AFF-7C1E-7A0D-A7864FC779F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4091940" y="350521"/>
              <a:ext cx="1828800" cy="138683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152400</xdr:colOff>
      <xdr:row>2</xdr:row>
      <xdr:rowOff>15241</xdr:rowOff>
    </xdr:from>
    <xdr:to>
      <xdr:col>5</xdr:col>
      <xdr:colOff>152400</xdr:colOff>
      <xdr:row>8</xdr:row>
      <xdr:rowOff>144781</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A27B84D8-F1A6-D1D3-76E7-A65001D17A09}"/>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35480" y="381001"/>
              <a:ext cx="1828800" cy="12268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220980</xdr:colOff>
      <xdr:row>2</xdr:row>
      <xdr:rowOff>0</xdr:rowOff>
    </xdr:from>
    <xdr:to>
      <xdr:col>14</xdr:col>
      <xdr:colOff>510540</xdr:colOff>
      <xdr:row>9</xdr:row>
      <xdr:rowOff>91440</xdr:rowOff>
    </xdr:to>
    <mc:AlternateContent xmlns:mc="http://schemas.openxmlformats.org/markup-compatibility/2006">
      <mc:Choice xmlns:tsle="http://schemas.microsoft.com/office/drawing/2012/timeslicer" Requires="tsle">
        <xdr:graphicFrame macro="">
          <xdr:nvGraphicFramePr>
            <xdr:cNvPr id="4" name="Date 2">
              <a:extLst>
                <a:ext uri="{FF2B5EF4-FFF2-40B4-BE49-F238E27FC236}">
                  <a16:creationId xmlns:a16="http://schemas.microsoft.com/office/drawing/2014/main" id="{D610676F-32F5-C8DC-1D0C-E6F9E834D0D5}"/>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6271260" y="365760"/>
              <a:ext cx="333756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210031</xdr:colOff>
      <xdr:row>104</xdr:row>
      <xdr:rowOff>149159</xdr:rowOff>
    </xdr:from>
    <xdr:to>
      <xdr:col>8</xdr:col>
      <xdr:colOff>111935</xdr:colOff>
      <xdr:row>118</xdr:row>
      <xdr:rowOff>41100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C12086CE-8D7D-783D-8015-DCA62A6F032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964445" y="1932178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76989</xdr:colOff>
      <xdr:row>104</xdr:row>
      <xdr:rowOff>165012</xdr:rowOff>
    </xdr:from>
    <xdr:to>
      <xdr:col>3</xdr:col>
      <xdr:colOff>154065</xdr:colOff>
      <xdr:row>118</xdr:row>
      <xdr:rowOff>56953</xdr:rowOff>
    </xdr:to>
    <mc:AlternateContent xmlns:mc="http://schemas.openxmlformats.org/markup-compatibility/2006">
      <mc:Choice xmlns:a14="http://schemas.microsoft.com/office/drawing/2010/main" Requires="a14">
        <xdr:graphicFrame macro="">
          <xdr:nvGraphicFramePr>
            <xdr:cNvPr id="6" name="Revenue">
              <a:extLst>
                <a:ext uri="{FF2B5EF4-FFF2-40B4-BE49-F238E27FC236}">
                  <a16:creationId xmlns:a16="http://schemas.microsoft.com/office/drawing/2014/main" id="{8DE8E7FA-2B4E-CCB2-AFE7-0E393A49DC31}"/>
                </a:ext>
              </a:extLst>
            </xdr:cNvPr>
            <xdr:cNvGraphicFramePr/>
          </xdr:nvGraphicFramePr>
          <xdr:xfrm>
            <a:off x="0" y="0"/>
            <a:ext cx="0" cy="0"/>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751403" y="19337633"/>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22771</xdr:colOff>
      <xdr:row>105</xdr:row>
      <xdr:rowOff>5693</xdr:rowOff>
    </xdr:from>
    <xdr:to>
      <xdr:col>5</xdr:col>
      <xdr:colOff>949433</xdr:colOff>
      <xdr:row>118</xdr:row>
      <xdr:rowOff>81565</xdr:rowOff>
    </xdr:to>
    <mc:AlternateContent xmlns:mc="http://schemas.openxmlformats.org/markup-compatibility/2006">
      <mc:Choice xmlns:a14="http://schemas.microsoft.com/office/drawing/2010/main" Requires="a14">
        <xdr:graphicFrame macro="">
          <xdr:nvGraphicFramePr>
            <xdr:cNvPr id="7" name="Profit">
              <a:extLst>
                <a:ext uri="{FF2B5EF4-FFF2-40B4-BE49-F238E27FC236}">
                  <a16:creationId xmlns:a16="http://schemas.microsoft.com/office/drawing/2014/main" id="{DC6AE20F-2ABD-AA88-6C85-6834BF844983}"/>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3570012" y="19362245"/>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433551</xdr:colOff>
      <xdr:row>133</xdr:row>
      <xdr:rowOff>21020</xdr:rowOff>
    </xdr:from>
    <xdr:to>
      <xdr:col>7</xdr:col>
      <xdr:colOff>223344</xdr:colOff>
      <xdr:row>148</xdr:row>
      <xdr:rowOff>5255</xdr:rowOff>
    </xdr:to>
    <xdr:graphicFrame macro="">
      <xdr:nvGraphicFramePr>
        <xdr:cNvPr id="13" name="Chart 12">
          <a:extLst>
            <a:ext uri="{FF2B5EF4-FFF2-40B4-BE49-F238E27FC236}">
              <a16:creationId xmlns:a16="http://schemas.microsoft.com/office/drawing/2014/main" id="{60B76324-B903-52A0-B277-E5A7CFECFB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715230</xdr:colOff>
      <xdr:row>133</xdr:row>
      <xdr:rowOff>13313</xdr:rowOff>
    </xdr:from>
    <xdr:to>
      <xdr:col>11</xdr:col>
      <xdr:colOff>260307</xdr:colOff>
      <xdr:row>140</xdr:row>
      <xdr:rowOff>97396</xdr:rowOff>
    </xdr:to>
    <mc:AlternateContent xmlns:mc="http://schemas.openxmlformats.org/markup-compatibility/2006">
      <mc:Choice xmlns:tsle="http://schemas.microsoft.com/office/drawing/2012/timeslicer" Requires="tsle">
        <xdr:graphicFrame macro="">
          <xdr:nvGraphicFramePr>
            <xdr:cNvPr id="14" name="Date 1">
              <a:extLst>
                <a:ext uri="{FF2B5EF4-FFF2-40B4-BE49-F238E27FC236}">
                  <a16:creationId xmlns:a16="http://schemas.microsoft.com/office/drawing/2014/main" id="{09C5345F-BFDB-C0F2-6221-B58B25932677}"/>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7240402" y="24519934"/>
              <a:ext cx="3337560" cy="137160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731520</xdr:colOff>
      <xdr:row>9</xdr:row>
      <xdr:rowOff>152400</xdr:rowOff>
    </xdr:from>
    <xdr:to>
      <xdr:col>9</xdr:col>
      <xdr:colOff>182880</xdr:colOff>
      <xdr:row>23</xdr:row>
      <xdr:rowOff>59055</xdr:rowOff>
    </xdr:to>
    <mc:AlternateContent xmlns:mc="http://schemas.openxmlformats.org/markup-compatibility/2006">
      <mc:Choice xmlns:a14="http://schemas.microsoft.com/office/drawing/2010/main" Requires="a14">
        <xdr:graphicFrame macro="">
          <xdr:nvGraphicFramePr>
            <xdr:cNvPr id="2" name="Slicer_Region1">
              <a:extLst>
                <a:ext uri="{FF2B5EF4-FFF2-40B4-BE49-F238E27FC236}">
                  <a16:creationId xmlns:a16="http://schemas.microsoft.com/office/drawing/2014/main" id="{9E5951DE-0F9D-0F87-AFDD-443CC12AEF0A}"/>
                </a:ext>
              </a:extLst>
            </xdr:cNvPr>
            <xdr:cNvGraphicFramePr/>
          </xdr:nvGraphicFramePr>
          <xdr:xfrm>
            <a:off x="0" y="0"/>
            <a:ext cx="0" cy="0"/>
          </xdr:xfrm>
          <a:graphic>
            <a:graphicData uri="http://schemas.microsoft.com/office/drawing/2010/slicer">
              <sle:slicer xmlns:sle="http://schemas.microsoft.com/office/drawing/2010/slicer" name="Slicer_Region1"/>
            </a:graphicData>
          </a:graphic>
        </xdr:graphicFrame>
      </mc:Choice>
      <mc:Fallback>
        <xdr:sp macro="" textlink="">
          <xdr:nvSpPr>
            <xdr:cNvPr id="0" name=""/>
            <xdr:cNvSpPr>
              <a:spLocks noTextEdit="1"/>
            </xdr:cNvSpPr>
          </xdr:nvSpPr>
          <xdr:spPr>
            <a:xfrm>
              <a:off x="4038600" y="179832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929640</xdr:colOff>
      <xdr:row>9</xdr:row>
      <xdr:rowOff>152400</xdr:rowOff>
    </xdr:from>
    <xdr:to>
      <xdr:col>5</xdr:col>
      <xdr:colOff>518160</xdr:colOff>
      <xdr:row>23</xdr:row>
      <xdr:rowOff>59055</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67B8005E-86CA-CB1F-164C-3FF32FB2A3C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996440" y="179832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9</xdr:row>
      <xdr:rowOff>144780</xdr:rowOff>
    </xdr:from>
    <xdr:to>
      <xdr:col>1</xdr:col>
      <xdr:colOff>861060</xdr:colOff>
      <xdr:row>23</xdr:row>
      <xdr:rowOff>51435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9C4C806E-07AC-C2DD-76AC-AE4863D7022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99060" y="1790700"/>
              <a:ext cx="1828800" cy="24669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182880</xdr:colOff>
      <xdr:row>2</xdr:row>
      <xdr:rowOff>7620</xdr:rowOff>
    </xdr:from>
    <xdr:to>
      <xdr:col>11</xdr:col>
      <xdr:colOff>510540</xdr:colOff>
      <xdr:row>9</xdr:row>
      <xdr:rowOff>68580</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D1B53EA7-CF16-0F52-C76E-8752441F4D4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229100" y="373380"/>
              <a:ext cx="3337560" cy="1341120"/>
            </a:xfrm>
            <a:prstGeom prst="rect">
              <a:avLst/>
            </a:prstGeom>
            <a:solidFill>
              <a:prstClr val="white"/>
            </a:solidFill>
            <a:ln w="1">
              <a:solidFill>
                <a:prstClr val="green"/>
              </a:solidFill>
            </a:ln>
          </xdr:spPr>
          <xdr:txBody>
            <a:bodyPr vertOverflow="clip" horzOverflow="clip"/>
            <a:lstStyle/>
            <a:p>
              <a:r>
                <a:rPr lang="en-ZA"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632460</xdr:colOff>
      <xdr:row>10</xdr:row>
      <xdr:rowOff>110490</xdr:rowOff>
    </xdr:from>
    <xdr:to>
      <xdr:col>4</xdr:col>
      <xdr:colOff>670560</xdr:colOff>
      <xdr:row>25</xdr:row>
      <xdr:rowOff>110490</xdr:rowOff>
    </xdr:to>
    <xdr:graphicFrame macro="">
      <xdr:nvGraphicFramePr>
        <xdr:cNvPr id="2" name="Chart 1">
          <a:extLst>
            <a:ext uri="{FF2B5EF4-FFF2-40B4-BE49-F238E27FC236}">
              <a16:creationId xmlns:a16="http://schemas.microsoft.com/office/drawing/2014/main" id="{C0548594-37AA-8ADA-977A-D748784F9C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Ringane" refreshedDate="46247.454852314811" createdVersion="8" refreshedVersion="8" minRefreshableVersion="3" recordCount="90" xr:uid="{D8ECDA6E-98DC-49BC-8DBB-829F587A27B9}">
  <cacheSource type="worksheet">
    <worksheetSource name="Append1"/>
  </cacheSource>
  <cacheFields count="15">
    <cacheField name="OrderID" numFmtId="0">
      <sharedItems/>
    </cacheField>
    <cacheField name="Date" numFmtId="14">
      <sharedItems containsSemiMixedTypes="0" containsNonDate="0" containsDate="1" containsString="0" minDate="2025-01-03T04:18:37" maxDate="2025-09-26T13:57:30"/>
    </cacheField>
    <cacheField name="Region" numFmtId="0">
      <sharedItems count="4">
        <s v="North"/>
        <s v="West"/>
        <s v="South"/>
        <s v="East"/>
      </sharedItems>
    </cacheField>
    <cacheField name="CustomerID" numFmtId="0">
      <sharedItems containsSemiMixedTypes="0" containsString="0" containsNumber="1" containsInteger="1" minValue="1001" maxValue="1020"/>
    </cacheField>
    <cacheField name="Product" numFmtId="0">
      <sharedItems/>
    </cacheField>
    <cacheField name="Quantity" numFmtId="0">
      <sharedItems containsSemiMixedTypes="0" containsString="0" containsNumber="1" containsInteger="1" minValue="1" maxValue="9"/>
    </cacheField>
    <cacheField name="UnitPrice" numFmtId="0">
      <sharedItems containsSemiMixedTypes="0" containsString="0" containsNumber="1" containsInteger="1" minValue="109" maxValue="1987"/>
    </cacheField>
    <cacheField name="Category" numFmtId="0">
      <sharedItems/>
    </cacheField>
    <cacheField name="UnitCost" numFmtId="0">
      <sharedItems containsSemiMixedTypes="0" containsString="0" containsNumber="1" containsInteger="1" minValue="97" maxValue="492"/>
    </cacheField>
    <cacheField name="Discount" numFmtId="9">
      <sharedItems containsSemiMixedTypes="0" containsString="0" containsNumber="1" minValue="0.08" maxValue="0.23"/>
    </cacheField>
    <cacheField name="Revenue" numFmtId="0">
      <sharedItems containsSemiMixedTypes="0" containsString="0" containsNumber="1" containsInteger="1" minValue="218" maxValue="17784" count="90">
        <n v="1841"/>
        <n v="5256"/>
        <n v="5076"/>
        <n v="1418"/>
        <n v="5595"/>
        <n v="1220"/>
        <n v="4065"/>
        <n v="3753"/>
        <n v="6066"/>
        <n v="1815"/>
        <n v="7412"/>
        <n v="1621"/>
        <n v="5808"/>
        <n v="5670"/>
        <n v="730"/>
        <n v="14160"/>
        <n v="1134"/>
        <n v="1687"/>
        <n v="7288"/>
        <n v="14536"/>
        <n v="1010"/>
        <n v="5572"/>
        <n v="8043"/>
        <n v="3320"/>
        <n v="9352"/>
        <n v="17784"/>
        <n v="585"/>
        <n v="3030"/>
        <n v="9760"/>
        <n v="566"/>
        <n v="648"/>
        <n v="2070"/>
        <n v="5343"/>
        <n v="12312"/>
        <n v="218"/>
        <n v="10648"/>
        <n v="444"/>
        <n v="7425"/>
        <n v="4416"/>
        <n v="7273"/>
        <n v="3640"/>
        <n v="11331"/>
        <n v="7314"/>
        <n v="9755"/>
        <n v="2241"/>
        <n v="398"/>
        <n v="2828"/>
        <n v="9684"/>
        <n v="1187"/>
        <n v="7856"/>
        <n v="2338"/>
        <n v="7716"/>
        <n v="13472"/>
        <n v="7686"/>
        <n v="3804"/>
        <n v="1618"/>
        <n v="3090"/>
        <n v="1437"/>
        <n v="8760"/>
        <n v="357"/>
        <n v="640"/>
        <n v="1186"/>
        <n v="1809"/>
        <n v="13656"/>
        <n v="15896"/>
        <n v="5844"/>
        <n v="4248"/>
        <n v="233"/>
        <n v="7268"/>
        <n v="1188"/>
        <n v="9200"/>
        <n v="4902"/>
        <n v="3840"/>
        <n v="1632"/>
        <n v="16146"/>
        <n v="1016"/>
        <n v="3484"/>
        <n v="3490"/>
        <n v="1767"/>
        <n v="2808"/>
        <n v="3785"/>
        <n v="2530"/>
        <n v="1953"/>
        <n v="600"/>
        <n v="4256"/>
        <n v="3399"/>
        <n v="432"/>
        <n v="7080"/>
        <n v="1272"/>
        <n v="3220"/>
      </sharedItems>
    </cacheField>
    <cacheField name="Discounted Revenue" numFmtId="0">
      <sharedItems containsSemiMixedTypes="0" containsString="0" containsNumber="1" minValue="179.41" maxValue="15294.24"/>
    </cacheField>
    <cacheField name="Profit" numFmtId="44">
      <sharedItems containsSemiMixedTypes="0" containsString="0" containsNumber="1" containsInteger="1" minValue="-43155" maxValue="13239" count="89">
        <n v="-24122"/>
        <n v="-21791"/>
        <n v="-21971"/>
        <n v="-25160"/>
        <n v="-22360"/>
        <n v="-24556"/>
        <n v="-22964"/>
        <n v="-26108"/>
        <n v="3288"/>
        <n v="-24116"/>
        <n v="-36452"/>
        <n v="1298"/>
        <n v="-38288"/>
        <n v="-40110"/>
        <n v="-43082"/>
        <n v="10456"/>
        <n v="-43155"/>
        <n v="-574"/>
        <n v="4704"/>
        <n v="-9295"/>
        <n v="738"/>
        <n v="2331"/>
        <n v="4802"/>
        <n v="3048"/>
        <n v="8400"/>
        <n v="-20791"/>
        <n v="-34025"/>
        <n v="2622"/>
        <n v="8672"/>
        <n v="-80"/>
        <n v="512"/>
        <n v="1424"/>
        <n v="4374"/>
        <n v="8560"/>
        <n v="-54"/>
        <n v="6896"/>
        <n v="250"/>
        <n v="6745"/>
        <n v="4125"/>
        <n v="3829"/>
        <n v="1379"/>
        <n v="8424"/>
        <n v="6732"/>
        <n v="7440"/>
        <n v="1368"/>
        <n v="262"/>
        <n v="2556"/>
        <n v="6777"/>
        <n v="1090"/>
        <n v="6564"/>
        <n v="2066"/>
        <n v="5748"/>
        <n v="10888"/>
        <n v="3519"/>
        <n v="990"/>
        <n v="2444"/>
        <n v="968"/>
        <n v="5982"/>
        <n v="-1050"/>
        <n v="-1212"/>
        <n v="723"/>
        <n v="402"/>
        <n v="9720"/>
        <n v="12192"/>
        <n v="5456"/>
        <n v="3375"/>
        <n v="-230"/>
        <n v="5392"/>
        <n v="-3033"/>
        <n v="5448"/>
        <n v="3426"/>
        <n v="1964"/>
        <n v="-1182"/>
        <n v="13239"/>
        <n v="32"/>
        <n v="2838"/>
        <n v="1175"/>
        <n v="360"/>
        <n v="1935"/>
        <n v="1470"/>
        <n v="1884"/>
        <n v="564"/>
        <n v="328"/>
        <n v="973"/>
        <n v="1992"/>
        <n v="24"/>
        <n v="4735"/>
        <n v="780"/>
        <n v="905"/>
      </sharedItems>
    </cacheField>
    <cacheField name="Nested IFs" numFmtId="0">
      <sharedItems/>
    </cacheField>
    <cacheField name="Match &amp; Index" numFmtId="0">
      <sharedItems/>
    </cacheField>
  </cacheFields>
  <extLst>
    <ext xmlns:x14="http://schemas.microsoft.com/office/spreadsheetml/2009/9/main" uri="{725AE2AE-9491-48be-B2B4-4EB974FC3084}">
      <x14:pivotCacheDefinition pivotCacheId="12148662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tasha Ringane" refreshedDate="46247.475522337962" createdVersion="8" refreshedVersion="8" minRefreshableVersion="3" recordCount="90" xr:uid="{605BF7C5-7E75-4D64-B612-D43194713266}">
  <cacheSource type="worksheet">
    <worksheetSource ref="A1:R91" sheet="Sales_All"/>
  </cacheSource>
  <cacheFields count="21">
    <cacheField name="OrderID" numFmtId="0">
      <sharedItems/>
    </cacheField>
    <cacheField name="Date" numFmtId="14">
      <sharedItems containsSemiMixedTypes="0" containsNonDate="0" containsDate="1" containsString="0" minDate="2025-01-03T04:18:37" maxDate="2025-09-26T13:57:30" count="90">
        <d v="2025-01-03T04:18:37"/>
        <d v="2025-01-05T15:34:20"/>
        <d v="2025-01-05T18:57:05"/>
        <d v="2025-01-06T16:27:43"/>
        <d v="2025-01-09T15:03:51"/>
        <d v="2025-01-14T11:55:59"/>
        <d v="2025-01-15T01:44:38"/>
        <d v="2025-01-27T22:17:52"/>
        <d v="2025-01-28T02:57:54"/>
        <d v="2025-01-31T05:07:32"/>
        <d v="2025-02-05T11:02:36"/>
        <d v="2025-02-08T10:50:13"/>
        <d v="2025-02-15T13:42:32"/>
        <d v="2025-02-19T09:27:33"/>
        <d v="2025-02-20T00:39:01"/>
        <d v="2025-02-22T18:31:56"/>
        <d v="2025-02-24T05:40:59"/>
        <d v="2025-02-25T05:04:20"/>
        <d v="2025-02-27T21:04:42"/>
        <d v="2025-02-28T05:26:33"/>
        <d v="2025-03-01T06:05:59"/>
        <d v="2025-03-02T04:31:10"/>
        <d v="2025-03-02T22:23:58"/>
        <d v="2025-03-06T02:03:03"/>
        <d v="2025-03-07T23:28:11"/>
        <d v="2025-03-19T02:47:39"/>
        <d v="2025-03-20T06:26:20"/>
        <d v="2025-03-22T19:35:46"/>
        <d v="2025-03-26T20:57:22"/>
        <d v="2025-03-27T04:51:12"/>
        <d v="2025-04-02T23:49:16"/>
        <d v="2025-04-05T18:47:22"/>
        <d v="2025-04-07T10:51:29"/>
        <d v="2025-04-07T11:30:29"/>
        <d v="2025-04-09T21:25:59"/>
        <d v="2025-04-12T03:09:59"/>
        <d v="2025-04-13T18:14:58"/>
        <d v="2025-04-19T14:18:51"/>
        <d v="2025-04-23T04:00:40"/>
        <d v="2025-04-23T06:31:04"/>
        <d v="2025-04-23T20:24:10"/>
        <d v="2025-04-24T02:44:59"/>
        <d v="2025-04-26T13:34:30"/>
        <d v="2025-04-27T14:59:57"/>
        <d v="2025-05-05T01:55:50"/>
        <d v="2025-05-10T19:31:43"/>
        <d v="2025-05-11T06:16:15"/>
        <d v="2025-05-12T02:06:55"/>
        <d v="2025-05-12T11:25:10"/>
        <d v="2025-05-13T01:27:07"/>
        <d v="2025-05-13T17:23:54"/>
        <d v="2025-05-20T22:05:39"/>
        <d v="2025-05-30T18:22:18"/>
        <d v="2025-06-03T21:35:29"/>
        <d v="2025-06-08T20:48:39"/>
        <d v="2025-06-13T23:38:55"/>
        <d v="2025-06-15T17:46:07"/>
        <d v="2025-06-19T09:22:19"/>
        <d v="2025-06-25T22:21:06"/>
        <d v="2025-06-27T20:38:27"/>
        <d v="2025-07-01T19:52:10"/>
        <d v="2025-07-03T08:25:50"/>
        <d v="2025-07-06T05:37:07"/>
        <d v="2025-07-11T12:28:58"/>
        <d v="2025-07-12T16:09:44"/>
        <d v="2025-07-19T08:02:05"/>
        <d v="2025-07-20T08:37:46"/>
        <d v="2025-07-21T11:59:20"/>
        <d v="2025-07-23T06:59:14"/>
        <d v="2025-07-24T13:05:26"/>
        <d v="2025-07-29T19:10:36"/>
        <d v="2025-07-30T02:18:33"/>
        <d v="2025-08-04T02:22:47"/>
        <d v="2025-08-05T02:56:56"/>
        <d v="2025-08-06T10:48:58"/>
        <d v="2025-08-11T16:50:37"/>
        <d v="2025-08-17T07:43:17"/>
        <d v="2025-08-20T15:47:14"/>
        <d v="2025-08-22T18:59:12"/>
        <d v="2025-08-25T12:07:21"/>
        <d v="2025-08-26T20:17:21"/>
        <d v="2025-08-28T03:43:39"/>
        <d v="2025-08-29T06:12:15"/>
        <d v="2025-09-06T10:37:20"/>
        <d v="2025-09-11T18:57:24"/>
        <d v="2025-09-14T07:32:35"/>
        <d v="2025-09-16T22:58:49"/>
        <d v="2025-09-26T05:20:38"/>
        <d v="2025-09-26T05:54:47"/>
        <d v="2025-09-26T13:57:30"/>
      </sharedItems>
      <fieldGroup par="19"/>
    </cacheField>
    <cacheField name="Region" numFmtId="0">
      <sharedItems count="4">
        <s v="North"/>
        <s v="West"/>
        <s v="South"/>
        <s v="East"/>
      </sharedItems>
    </cacheField>
    <cacheField name="CustomerID" numFmtId="0">
      <sharedItems containsSemiMixedTypes="0" containsString="0" containsNumber="1" containsInteger="1" minValue="1001" maxValue="1020"/>
    </cacheField>
    <cacheField name="Product" numFmtId="0">
      <sharedItems count="6">
        <s v="Headphones"/>
        <s v="Laptop"/>
        <s v="Monitor"/>
        <s v="Printer"/>
        <s v="Smartphone"/>
        <s v="Tablet"/>
      </sharedItems>
    </cacheField>
    <cacheField name="Quantity" numFmtId="0">
      <sharedItems containsSemiMixedTypes="0" containsString="0" containsNumber="1" containsInteger="1" minValue="1" maxValue="9"/>
    </cacheField>
    <cacheField name="UnitPrice" numFmtId="0">
      <sharedItems containsSemiMixedTypes="0" containsString="0" containsNumber="1" containsInteger="1" minValue="109" maxValue="1987"/>
    </cacheField>
    <cacheField name="Category" numFmtId="0">
      <sharedItems count="3">
        <s v="Accessories"/>
        <s v="Electronics"/>
        <s v="Office"/>
      </sharedItems>
    </cacheField>
    <cacheField name="UnitCost" numFmtId="0">
      <sharedItems containsSemiMixedTypes="0" containsString="0" containsNumber="1" containsInteger="1" minValue="97" maxValue="492"/>
    </cacheField>
    <cacheField name="Discount" numFmtId="9">
      <sharedItems containsSemiMixedTypes="0" containsString="0" containsNumber="1" minValue="0.08" maxValue="0.23"/>
    </cacheField>
    <cacheField name="Revenue" numFmtId="0">
      <sharedItems containsSemiMixedTypes="0" containsString="0" containsNumber="1" containsInteger="1" minValue="218" maxValue="17784"/>
    </cacheField>
    <cacheField name="Discounted Revenue" numFmtId="0">
      <sharedItems containsSemiMixedTypes="0" containsString="0" containsNumber="1" minValue="179.41" maxValue="15294.24"/>
    </cacheField>
    <cacheField name="Profit" numFmtId="44">
      <sharedItems containsSemiMixedTypes="0" containsString="0" containsNumber="1" containsInteger="1" minValue="-43155" maxValue="13239"/>
    </cacheField>
    <cacheField name="Nested IFs" numFmtId="0">
      <sharedItems/>
    </cacheField>
    <cacheField name="Match &amp; Index" numFmtId="0">
      <sharedItems/>
    </cacheField>
    <cacheField name="Dynamic Range" numFmtId="0">
      <sharedItems/>
    </cacheField>
    <cacheField name="Field17" caption="Field17" numFmtId="0">
      <sharedItems containsSemiMixedTypes="0" containsString="0" containsNumber="1" containsInteger="1" minValue="97" maxValue="492"/>
    </cacheField>
    <cacheField name="DeliveryDays" numFmtId="0">
      <sharedItems containsSemiMixedTypes="0" containsString="0" containsNumber="1" containsInteger="1" minValue="1" maxValue="9"/>
    </cacheField>
    <cacheField name="Days (Date)" numFmtId="0" databaseField="0">
      <fieldGroup base="1">
        <rangePr groupBy="days" startDate="2025-01-03T04:18:37" endDate="2025-09-26T13:57:30"/>
        <groupItems count="368">
          <s v="&lt;2025/01/0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5/09/26"/>
        </groupItems>
      </fieldGroup>
    </cacheField>
    <cacheField name="Months (Date)" numFmtId="0" databaseField="0">
      <fieldGroup base="1">
        <rangePr groupBy="months" startDate="2025-01-03T04:18:37" endDate="2025-09-26T13:57:30"/>
        <groupItems count="14">
          <s v="&lt;2025/01/03"/>
          <s v="Jan"/>
          <s v="Feb"/>
          <s v="Mar"/>
          <s v="Apr"/>
          <s v="May"/>
          <s v="Jun"/>
          <s v="Jul"/>
          <s v="Aug"/>
          <s v="Sept"/>
          <s v="Oct"/>
          <s v="Nov"/>
          <s v="Dec"/>
          <s v="&gt;2025/09/26"/>
        </groupItems>
      </fieldGroup>
    </cacheField>
    <cacheField name="Profit Margin %" numFmtId="0" formula="Profit /Revenue" databaseField="0"/>
  </cacheFields>
  <extLst>
    <ext xmlns:x14="http://schemas.microsoft.com/office/spreadsheetml/2009/9/main" uri="{725AE2AE-9491-48be-B2B4-4EB974FC3084}">
      <x14:pivotCacheDefinition pivotCacheId="991672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Q1-026"/>
    <d v="2025-01-03T04:18:37"/>
    <x v="0"/>
    <n v="1009"/>
    <s v="Headphones"/>
    <n v="1"/>
    <n v="1841"/>
    <s v="Accessories"/>
    <n v="323"/>
    <n v="0.1"/>
    <x v="0"/>
    <n v="1656.9"/>
    <x v="0"/>
    <s v="Low Value"/>
    <s v="Headphones"/>
  </r>
  <r>
    <s v="Q1-023"/>
    <d v="2025-01-05T15:34:20"/>
    <x v="1"/>
    <n v="1006"/>
    <s v="Laptop"/>
    <n v="3"/>
    <n v="1752"/>
    <s v="Electronics"/>
    <n v="469"/>
    <n v="0.22"/>
    <x v="1"/>
    <n v="4099.68"/>
    <x v="1"/>
    <s v="Low Value"/>
    <s v="Laptop"/>
  </r>
  <r>
    <s v="Q1-012"/>
    <d v="2025-01-05T18:57:05"/>
    <x v="2"/>
    <n v="1016"/>
    <s v="Laptop"/>
    <n v="3"/>
    <n v="1692"/>
    <s v="Electronics"/>
    <n v="469"/>
    <n v="0.22"/>
    <x v="2"/>
    <n v="3959.28"/>
    <x v="2"/>
    <s v="Low Value"/>
    <s v="Laptop"/>
  </r>
  <r>
    <s v="Q1-005"/>
    <d v="2025-01-06T16:27:43"/>
    <x v="0"/>
    <n v="1012"/>
    <s v="Laptop"/>
    <n v="2"/>
    <n v="709"/>
    <s v="Electronics"/>
    <n v="469"/>
    <n v="0.22"/>
    <x v="3"/>
    <n v="1106.04"/>
    <x v="3"/>
    <s v="Low Value"/>
    <s v="Laptop"/>
  </r>
  <r>
    <s v="Q1-030"/>
    <d v="2025-01-09T15:03:51"/>
    <x v="3"/>
    <n v="1016"/>
    <s v="Monitor"/>
    <n v="5"/>
    <n v="1119"/>
    <s v="Electronics"/>
    <n v="463"/>
    <n v="0.23"/>
    <x v="4"/>
    <n v="4308.1500000000005"/>
    <x v="4"/>
    <s v="Low Value"/>
    <s v="Monitor"/>
  </r>
  <r>
    <s v="Q1-009"/>
    <d v="2025-01-14T11:55:59"/>
    <x v="2"/>
    <n v="1020"/>
    <s v="Printer"/>
    <n v="1"/>
    <n v="1220"/>
    <s v="Office"/>
    <n v="136"/>
    <n v="0.1"/>
    <x v="5"/>
    <n v="1098"/>
    <x v="5"/>
    <s v="Low Value"/>
    <s v="Printer"/>
  </r>
  <r>
    <s v="Q1-015"/>
    <d v="2025-01-15T01:44:38"/>
    <x v="2"/>
    <n v="1016"/>
    <s v="Monitor"/>
    <n v="3"/>
    <n v="1355"/>
    <s v="Electronics"/>
    <n v="463"/>
    <n v="0.23"/>
    <x v="6"/>
    <n v="3130.05"/>
    <x v="6"/>
    <s v="Low Value"/>
    <s v="Monitor"/>
  </r>
  <r>
    <s v="Q1-011"/>
    <d v="2025-01-27T22:17:52"/>
    <x v="1"/>
    <n v="1019"/>
    <s v="Laptop"/>
    <n v="9"/>
    <n v="417"/>
    <s v="Electronics"/>
    <n v="469"/>
    <n v="0.22"/>
    <x v="7"/>
    <n v="2927.34"/>
    <x v="7"/>
    <s v="Low Value"/>
    <s v="Laptop"/>
  </r>
  <r>
    <s v="Q1-028"/>
    <d v="2025-01-28T02:57:54"/>
    <x v="1"/>
    <n v="1003"/>
    <s v="Monitor"/>
    <n v="6"/>
    <n v="1011"/>
    <s v="Electronics"/>
    <n v="463"/>
    <n v="0.23"/>
    <x v="8"/>
    <n v="4670.82"/>
    <x v="8"/>
    <s v="Low Value"/>
    <s v="Monitor"/>
  </r>
  <r>
    <s v="Q1-017"/>
    <d v="2025-01-31T05:07:32"/>
    <x v="0"/>
    <n v="1008"/>
    <s v="Smartphone"/>
    <n v="3"/>
    <n v="605"/>
    <s v="Electronics"/>
    <n v="97"/>
    <n v="0.08"/>
    <x v="9"/>
    <n v="1669.8000000000002"/>
    <x v="9"/>
    <s v="Low Value"/>
    <s v="Smartphone"/>
  </r>
  <r>
    <s v="Q1-013"/>
    <d v="2025-02-05T11:02:36"/>
    <x v="3"/>
    <n v="1001"/>
    <s v="Printer"/>
    <n v="4"/>
    <n v="1853"/>
    <s v="Office"/>
    <n v="136"/>
    <n v="0.1"/>
    <x v="10"/>
    <n v="6670.8"/>
    <x v="10"/>
    <s v="Low Value"/>
    <s v="Printer"/>
  </r>
  <r>
    <s v="Q1-019"/>
    <d v="2025-02-08T10:50:13"/>
    <x v="0"/>
    <n v="1010"/>
    <s v="Headphones"/>
    <n v="1"/>
    <n v="1621"/>
    <s v="Accessories"/>
    <n v="323"/>
    <n v="0.1"/>
    <x v="11"/>
    <n v="1458.9"/>
    <x v="11"/>
    <s v="Low Value"/>
    <s v="Headphones"/>
  </r>
  <r>
    <s v="Q1-004"/>
    <d v="2025-02-15T13:42:32"/>
    <x v="3"/>
    <n v="1018"/>
    <s v="Smartphone"/>
    <n v="8"/>
    <n v="726"/>
    <s v="Electronics"/>
    <n v="97"/>
    <n v="0.08"/>
    <x v="12"/>
    <n v="5343.3600000000006"/>
    <x v="12"/>
    <s v="Low Value"/>
    <s v="Smartphone"/>
  </r>
  <r>
    <s v="Q1-008"/>
    <d v="2025-02-19T09:27:33"/>
    <x v="2"/>
    <n v="1014"/>
    <s v="Tablet"/>
    <n v="5"/>
    <n v="1134"/>
    <s v="Electronics"/>
    <n v="492"/>
    <n v="0.14000000000000001"/>
    <x v="13"/>
    <n v="4876.2"/>
    <x v="13"/>
    <s v="Low Value"/>
    <s v="Tablet"/>
  </r>
  <r>
    <s v="Q1-001"/>
    <d v="2025-02-20T00:39:01"/>
    <x v="2"/>
    <n v="1018"/>
    <s v="Tablet"/>
    <n v="1"/>
    <n v="730"/>
    <s v="Electronics"/>
    <n v="492"/>
    <n v="0.14000000000000001"/>
    <x v="14"/>
    <n v="627.79999999999995"/>
    <x v="14"/>
    <s v="Low Value"/>
    <s v="Tablet"/>
  </r>
  <r>
    <s v="Q1-025"/>
    <d v="2025-02-22T18:31:56"/>
    <x v="2"/>
    <n v="1007"/>
    <s v="Monitor"/>
    <n v="8"/>
    <n v="1770"/>
    <s v="Electronics"/>
    <n v="463"/>
    <n v="0.23"/>
    <x v="15"/>
    <n v="10903.2"/>
    <x v="15"/>
    <s v="Low Value"/>
    <s v="Monitor"/>
  </r>
  <r>
    <s v="Q1-002"/>
    <d v="2025-02-24T05:40:59"/>
    <x v="2"/>
    <n v="1004"/>
    <s v="Headphones"/>
    <n v="3"/>
    <n v="378"/>
    <s v="Accessories"/>
    <n v="323"/>
    <n v="0.1"/>
    <x v="16"/>
    <n v="1020.6"/>
    <x v="16"/>
    <s v="Low Value"/>
    <s v="Headphones"/>
  </r>
  <r>
    <s v="Q1-021"/>
    <d v="2025-02-25T05:04:20"/>
    <x v="2"/>
    <n v="1008"/>
    <s v="Headphones"/>
    <n v="7"/>
    <n v="241"/>
    <s v="Accessories"/>
    <n v="323"/>
    <n v="0.1"/>
    <x v="17"/>
    <n v="1518.3"/>
    <x v="17"/>
    <s v="Low Value"/>
    <s v="Headphones"/>
  </r>
  <r>
    <s v="Q1-024"/>
    <d v="2025-02-27T21:04:42"/>
    <x v="3"/>
    <n v="1020"/>
    <s v="Headphones"/>
    <n v="8"/>
    <n v="911"/>
    <s v="Accessories"/>
    <n v="323"/>
    <n v="0.1"/>
    <x v="18"/>
    <n v="6559.2"/>
    <x v="18"/>
    <s v="Low Value"/>
    <s v="Headphones"/>
  </r>
  <r>
    <s v="Q1-006"/>
    <d v="2025-02-28T05:26:33"/>
    <x v="3"/>
    <n v="1013"/>
    <s v="Laptop"/>
    <n v="8"/>
    <n v="1817"/>
    <s v="Electronics"/>
    <n v="469"/>
    <n v="0.22"/>
    <x v="19"/>
    <n v="11338.08"/>
    <x v="19"/>
    <s v="Low Value"/>
    <s v="Laptop"/>
  </r>
  <r>
    <s v="Q1-014"/>
    <d v="2025-03-01T06:05:59"/>
    <x v="2"/>
    <n v="1005"/>
    <s v="Printer"/>
    <n v="2"/>
    <n v="505"/>
    <s v="Office"/>
    <n v="136"/>
    <n v="0.1"/>
    <x v="20"/>
    <n v="909"/>
    <x v="20"/>
    <s v="Low Value"/>
    <s v="Printer"/>
  </r>
  <r>
    <s v="Q1-027"/>
    <d v="2025-03-02T04:31:10"/>
    <x v="3"/>
    <n v="1001"/>
    <s v="Monitor"/>
    <n v="7"/>
    <n v="796"/>
    <s v="Electronics"/>
    <n v="463"/>
    <n v="0.23"/>
    <x v="21"/>
    <n v="4290.4400000000005"/>
    <x v="21"/>
    <s v="Low Value"/>
    <s v="Monitor"/>
  </r>
  <r>
    <s v="Q1-018"/>
    <d v="2025-03-02T22:23:58"/>
    <x v="2"/>
    <n v="1009"/>
    <s v="Monitor"/>
    <n v="7"/>
    <n v="1149"/>
    <s v="Electronics"/>
    <n v="463"/>
    <n v="0.23"/>
    <x v="22"/>
    <n v="6193.1100000000006"/>
    <x v="22"/>
    <s v="Low Value"/>
    <s v="Monitor"/>
  </r>
  <r>
    <s v="Q1-029"/>
    <d v="2025-03-06T02:03:03"/>
    <x v="1"/>
    <n v="1011"/>
    <s v="Printer"/>
    <n v="2"/>
    <n v="1660"/>
    <s v="Office"/>
    <n v="136"/>
    <n v="0.1"/>
    <x v="23"/>
    <n v="2988"/>
    <x v="23"/>
    <s v="Low Value"/>
    <s v="Printer"/>
  </r>
  <r>
    <s v="Q1-022"/>
    <d v="2025-03-07T23:28:11"/>
    <x v="1"/>
    <n v="1005"/>
    <s v="Printer"/>
    <n v="7"/>
    <n v="1336"/>
    <s v="Office"/>
    <n v="136"/>
    <n v="0.1"/>
    <x v="24"/>
    <n v="8416.8000000000011"/>
    <x v="24"/>
    <s v="Low Value"/>
    <s v="Printer"/>
  </r>
  <r>
    <s v="Q1-007"/>
    <d v="2025-03-19T02:47:39"/>
    <x v="2"/>
    <n v="1017"/>
    <s v="Tablet"/>
    <n v="9"/>
    <n v="1976"/>
    <s v="Electronics"/>
    <n v="492"/>
    <n v="0.14000000000000001"/>
    <x v="25"/>
    <n v="15294.24"/>
    <x v="25"/>
    <s v="Low Value"/>
    <s v="Tablet"/>
  </r>
  <r>
    <s v="Q1-003"/>
    <d v="2025-03-20T06:26:20"/>
    <x v="1"/>
    <n v="1005"/>
    <s v="Monitor"/>
    <n v="1"/>
    <n v="585"/>
    <s v="Electronics"/>
    <n v="463"/>
    <n v="0.23"/>
    <x v="26"/>
    <n v="450.45"/>
    <x v="26"/>
    <s v="Low Value"/>
    <s v="Monitor"/>
  </r>
  <r>
    <s v="Q1-020"/>
    <d v="2025-03-22T19:35:46"/>
    <x v="0"/>
    <n v="1004"/>
    <s v="Printer"/>
    <n v="3"/>
    <n v="1010"/>
    <s v="Office"/>
    <n v="136"/>
    <n v="0.1"/>
    <x v="27"/>
    <n v="2727"/>
    <x v="27"/>
    <s v="Low Value"/>
    <s v="Printer"/>
  </r>
  <r>
    <s v="Q1-016"/>
    <d v="2025-03-26T20:57:22"/>
    <x v="0"/>
    <n v="1003"/>
    <s v="Printer"/>
    <n v="8"/>
    <n v="1220"/>
    <s v="Office"/>
    <n v="136"/>
    <n v="0.1"/>
    <x v="28"/>
    <n v="8784"/>
    <x v="28"/>
    <s v="Low Value"/>
    <s v="Printer"/>
  </r>
  <r>
    <s v="Q1-010"/>
    <d v="2025-03-27T04:51:12"/>
    <x v="1"/>
    <n v="1010"/>
    <s v="Headphones"/>
    <n v="2"/>
    <n v="283"/>
    <s v="Accessories"/>
    <n v="323"/>
    <n v="0.1"/>
    <x v="29"/>
    <n v="509.40000000000003"/>
    <x v="29"/>
    <s v="Low Value"/>
    <s v="Headphones"/>
  </r>
  <r>
    <s v="Q2-019"/>
    <d v="2025-04-02T23:49:16"/>
    <x v="0"/>
    <n v="1010"/>
    <s v="Printer"/>
    <n v="1"/>
    <n v="648"/>
    <s v="Office"/>
    <n v="136"/>
    <n v="0.1"/>
    <x v="30"/>
    <n v="583.20000000000005"/>
    <x v="30"/>
    <s v="Low Value"/>
    <s v="Printer"/>
  </r>
  <r>
    <s v="Q2-030"/>
    <d v="2025-04-05T18:47:22"/>
    <x v="3"/>
    <n v="1006"/>
    <s v="Headphones"/>
    <n v="2"/>
    <n v="1035"/>
    <s v="Accessories"/>
    <n v="323"/>
    <n v="0.1"/>
    <x v="31"/>
    <n v="1863"/>
    <x v="31"/>
    <s v="Low Value"/>
    <s v="Headphones"/>
  </r>
  <r>
    <s v="Q2-011"/>
    <d v="2025-04-07T10:51:29"/>
    <x v="2"/>
    <n v="1012"/>
    <s v="Headphones"/>
    <n v="3"/>
    <n v="1781"/>
    <s v="Accessories"/>
    <n v="323"/>
    <n v="0.1"/>
    <x v="32"/>
    <n v="4808.7"/>
    <x v="32"/>
    <s v="Low Value"/>
    <s v="Headphones"/>
  </r>
  <r>
    <s v="Q2-014"/>
    <d v="2025-04-07T11:30:29"/>
    <x v="0"/>
    <n v="1009"/>
    <s v="Laptop"/>
    <n v="8"/>
    <n v="1539"/>
    <s v="Electronics"/>
    <n v="469"/>
    <n v="0.22"/>
    <x v="33"/>
    <n v="9603.36"/>
    <x v="33"/>
    <s v="Low Value"/>
    <s v="Laptop"/>
  </r>
  <r>
    <s v="Q2-026"/>
    <d v="2025-04-09T21:25:59"/>
    <x v="3"/>
    <n v="1005"/>
    <s v="Printer"/>
    <n v="2"/>
    <n v="109"/>
    <s v="Office"/>
    <n v="136"/>
    <n v="0.1"/>
    <x v="34"/>
    <n v="196.20000000000002"/>
    <x v="34"/>
    <s v="Low Value"/>
    <s v="Printer"/>
  </r>
  <r>
    <s v="Q2-009"/>
    <d v="2025-04-12T03:09:59"/>
    <x v="1"/>
    <n v="1020"/>
    <s v="Laptop"/>
    <n v="8"/>
    <n v="1331"/>
    <s v="Electronics"/>
    <n v="469"/>
    <n v="0.22"/>
    <x v="35"/>
    <n v="8305.44"/>
    <x v="35"/>
    <s v="Low Value"/>
    <s v="Laptop"/>
  </r>
  <r>
    <s v="Q2-010"/>
    <d v="2025-04-13T18:14:58"/>
    <x v="1"/>
    <n v="1001"/>
    <s v="Smartphone"/>
    <n v="2"/>
    <n v="222"/>
    <s v="Electronics"/>
    <n v="97"/>
    <n v="0.08"/>
    <x v="36"/>
    <n v="408.48"/>
    <x v="36"/>
    <s v="Low Value"/>
    <s v="Smartphone"/>
  </r>
  <r>
    <s v="Q2-007"/>
    <d v="2025-04-19T14:18:51"/>
    <x v="3"/>
    <n v="1010"/>
    <s v="Printer"/>
    <n v="5"/>
    <n v="1485"/>
    <s v="Office"/>
    <n v="136"/>
    <n v="0.1"/>
    <x v="37"/>
    <n v="6682.5"/>
    <x v="37"/>
    <s v="Low Value"/>
    <s v="Printer"/>
  </r>
  <r>
    <s v="Q2-008"/>
    <d v="2025-04-23T04:00:40"/>
    <x v="3"/>
    <n v="1015"/>
    <s v="Smartphone"/>
    <n v="3"/>
    <n v="1472"/>
    <s v="Electronics"/>
    <n v="97"/>
    <n v="0.08"/>
    <x v="38"/>
    <n v="4062.7200000000003"/>
    <x v="38"/>
    <s v="Low Value"/>
    <s v="Smartphone"/>
  </r>
  <r>
    <s v="Q2-001"/>
    <d v="2025-04-23T06:31:04"/>
    <x v="0"/>
    <n v="1016"/>
    <s v="Tablet"/>
    <n v="7"/>
    <n v="1039"/>
    <s v="Electronics"/>
    <n v="492"/>
    <n v="0.14000000000000001"/>
    <x v="39"/>
    <n v="6254.78"/>
    <x v="39"/>
    <s v="Low Value"/>
    <s v="Tablet"/>
  </r>
  <r>
    <s v="Q2-028"/>
    <d v="2025-04-23T20:24:10"/>
    <x v="3"/>
    <n v="1018"/>
    <s v="Headphones"/>
    <n v="7"/>
    <n v="520"/>
    <s v="Accessories"/>
    <n v="323"/>
    <n v="0.1"/>
    <x v="40"/>
    <n v="3276"/>
    <x v="40"/>
    <s v="Low Value"/>
    <s v="Headphones"/>
  </r>
  <r>
    <s v="Q2-005"/>
    <d v="2025-04-24T02:44:59"/>
    <x v="0"/>
    <n v="1018"/>
    <s v="Headphones"/>
    <n v="9"/>
    <n v="1259"/>
    <s v="Accessories"/>
    <n v="323"/>
    <n v="0.1"/>
    <x v="41"/>
    <n v="10197.9"/>
    <x v="41"/>
    <s v="Low Value"/>
    <s v="Headphones"/>
  </r>
  <r>
    <s v="Q2-022"/>
    <d v="2025-04-26T13:34:30"/>
    <x v="1"/>
    <n v="1007"/>
    <s v="Smartphone"/>
    <n v="6"/>
    <n v="1219"/>
    <s v="Electronics"/>
    <n v="97"/>
    <n v="0.08"/>
    <x v="42"/>
    <n v="6728.88"/>
    <x v="42"/>
    <s v="Low Value"/>
    <s v="Smartphone"/>
  </r>
  <r>
    <s v="Q2-003"/>
    <d v="2025-04-27T14:59:57"/>
    <x v="1"/>
    <n v="1014"/>
    <s v="Monitor"/>
    <n v="5"/>
    <n v="1951"/>
    <s v="Electronics"/>
    <n v="463"/>
    <n v="0.23"/>
    <x v="43"/>
    <n v="7511.35"/>
    <x v="43"/>
    <s v="Low Value"/>
    <s v="Monitor"/>
  </r>
  <r>
    <s v="Q2-027"/>
    <d v="2025-05-05T01:55:50"/>
    <x v="0"/>
    <n v="1009"/>
    <s v="Smartphone"/>
    <n v="9"/>
    <n v="249"/>
    <s v="Electronics"/>
    <n v="97"/>
    <n v="0.08"/>
    <x v="44"/>
    <n v="2061.7200000000003"/>
    <x v="44"/>
    <s v="Low Value"/>
    <s v="Smartphone"/>
  </r>
  <r>
    <s v="Q2-017"/>
    <d v="2025-05-10T19:31:43"/>
    <x v="0"/>
    <n v="1009"/>
    <s v="Printer"/>
    <n v="1"/>
    <n v="398"/>
    <s v="Office"/>
    <n v="136"/>
    <n v="0.1"/>
    <x v="45"/>
    <n v="358.2"/>
    <x v="45"/>
    <s v="Low Value"/>
    <s v="Printer"/>
  </r>
  <r>
    <s v="Q2-015"/>
    <d v="2025-05-11T06:16:15"/>
    <x v="0"/>
    <n v="1013"/>
    <s v="Printer"/>
    <n v="2"/>
    <n v="1414"/>
    <s v="Office"/>
    <n v="136"/>
    <n v="0.1"/>
    <x v="46"/>
    <n v="2545.2000000000003"/>
    <x v="46"/>
    <s v="Low Value"/>
    <s v="Printer"/>
  </r>
  <r>
    <s v="Q2-016"/>
    <d v="2025-05-12T02:06:55"/>
    <x v="3"/>
    <n v="1011"/>
    <s v="Headphones"/>
    <n v="9"/>
    <n v="1076"/>
    <s v="Accessories"/>
    <n v="323"/>
    <n v="0.1"/>
    <x v="47"/>
    <n v="8715.6"/>
    <x v="47"/>
    <s v="Low Value"/>
    <s v="Headphones"/>
  </r>
  <r>
    <s v="Q2-004"/>
    <d v="2025-05-12T11:25:10"/>
    <x v="2"/>
    <n v="1009"/>
    <s v="Smartphone"/>
    <n v="1"/>
    <n v="1187"/>
    <s v="Electronics"/>
    <n v="97"/>
    <n v="0.08"/>
    <x v="48"/>
    <n v="1092.04"/>
    <x v="48"/>
    <s v="Low Value"/>
    <s v="Smartphone"/>
  </r>
  <r>
    <s v="Q2-024"/>
    <d v="2025-05-13T01:27:07"/>
    <x v="1"/>
    <n v="1019"/>
    <s v="Headphones"/>
    <n v="4"/>
    <n v="1964"/>
    <s v="Accessories"/>
    <n v="323"/>
    <n v="0.1"/>
    <x v="49"/>
    <n v="7070.4000000000005"/>
    <x v="49"/>
    <s v="Low Value"/>
    <s v="Headphones"/>
  </r>
  <r>
    <s v="Q2-023"/>
    <d v="2025-05-13T17:23:54"/>
    <x v="2"/>
    <n v="1020"/>
    <s v="Printer"/>
    <n v="2"/>
    <n v="1169"/>
    <s v="Office"/>
    <n v="136"/>
    <n v="0.1"/>
    <x v="50"/>
    <n v="2104.2000000000003"/>
    <x v="50"/>
    <s v="Low Value"/>
    <s v="Printer"/>
  </r>
  <r>
    <s v="Q2-025"/>
    <d v="2025-05-20T22:05:39"/>
    <x v="1"/>
    <n v="1002"/>
    <s v="Tablet"/>
    <n v="4"/>
    <n v="1929"/>
    <s v="Electronics"/>
    <n v="492"/>
    <n v="0.14000000000000001"/>
    <x v="51"/>
    <n v="6635.76"/>
    <x v="51"/>
    <s v="Low Value"/>
    <s v="Tablet"/>
  </r>
  <r>
    <s v="Q2-018"/>
    <d v="2025-05-30T18:22:18"/>
    <x v="3"/>
    <n v="1003"/>
    <s v="Headphones"/>
    <n v="8"/>
    <n v="1684"/>
    <s v="Accessories"/>
    <n v="323"/>
    <n v="0.1"/>
    <x v="52"/>
    <n v="12124.800000000001"/>
    <x v="52"/>
    <s v="Low Value"/>
    <s v="Headphones"/>
  </r>
  <r>
    <s v="Q2-029"/>
    <d v="2025-06-03T21:35:29"/>
    <x v="2"/>
    <n v="1007"/>
    <s v="Monitor"/>
    <n v="9"/>
    <n v="854"/>
    <s v="Electronics"/>
    <n v="463"/>
    <n v="0.23"/>
    <x v="53"/>
    <n v="5918.22"/>
    <x v="53"/>
    <s v="Low Value"/>
    <s v="Monitor"/>
  </r>
  <r>
    <s v="Q2-020"/>
    <d v="2025-06-08T20:48:39"/>
    <x v="3"/>
    <n v="1006"/>
    <s v="Laptop"/>
    <n v="6"/>
    <n v="634"/>
    <s v="Electronics"/>
    <n v="469"/>
    <n v="0.22"/>
    <x v="54"/>
    <n v="2967.12"/>
    <x v="54"/>
    <s v="Low Value"/>
    <s v="Laptop"/>
  </r>
  <r>
    <s v="Q2-002"/>
    <d v="2025-06-13T23:38:55"/>
    <x v="1"/>
    <n v="1010"/>
    <s v="Smartphone"/>
    <n v="2"/>
    <n v="809"/>
    <s v="Electronics"/>
    <n v="97"/>
    <n v="0.08"/>
    <x v="55"/>
    <n v="1488.5600000000002"/>
    <x v="31"/>
    <s v="Low Value"/>
    <s v="Smartphone"/>
  </r>
  <r>
    <s v="Q2-012"/>
    <d v="2025-06-15T17:46:07"/>
    <x v="1"/>
    <n v="1001"/>
    <s v="Headphones"/>
    <n v="2"/>
    <n v="1545"/>
    <s v="Accessories"/>
    <n v="323"/>
    <n v="0.1"/>
    <x v="56"/>
    <n v="2781"/>
    <x v="55"/>
    <s v="Low Value"/>
    <s v="Headphones"/>
  </r>
  <r>
    <s v="Q2-013"/>
    <d v="2025-06-19T09:22:19"/>
    <x v="3"/>
    <n v="1019"/>
    <s v="Laptop"/>
    <n v="1"/>
    <n v="1437"/>
    <s v="Electronics"/>
    <n v="469"/>
    <n v="0.22"/>
    <x v="57"/>
    <n v="1120.8600000000001"/>
    <x v="56"/>
    <s v="Low Value"/>
    <s v="Laptop"/>
  </r>
  <r>
    <s v="Q2-006"/>
    <d v="2025-06-25T22:21:06"/>
    <x v="0"/>
    <n v="1010"/>
    <s v="Monitor"/>
    <n v="6"/>
    <n v="1460"/>
    <s v="Electronics"/>
    <n v="463"/>
    <n v="0.23"/>
    <x v="58"/>
    <n v="6745.2"/>
    <x v="57"/>
    <s v="Low Value"/>
    <s v="Monitor"/>
  </r>
  <r>
    <s v="Q2-021"/>
    <d v="2025-06-27T20:38:27"/>
    <x v="1"/>
    <n v="1007"/>
    <s v="Laptop"/>
    <n v="3"/>
    <n v="119"/>
    <s v="Electronics"/>
    <n v="469"/>
    <n v="0.22"/>
    <x v="59"/>
    <n v="278.46000000000004"/>
    <x v="58"/>
    <s v="Low Value"/>
    <s v="Laptop"/>
  </r>
  <r>
    <s v="Q3-001"/>
    <d v="2025-07-01T19:52:10"/>
    <x v="0"/>
    <n v="1001"/>
    <s v="Monitor"/>
    <n v="4"/>
    <n v="160"/>
    <s v="Electronics"/>
    <n v="463"/>
    <n v="0.23"/>
    <x v="60"/>
    <n v="492.8"/>
    <x v="59"/>
    <s v="Low Value"/>
    <s v="Monitor"/>
  </r>
  <r>
    <s v="Q3-022"/>
    <d v="2025-07-03T08:25:50"/>
    <x v="0"/>
    <n v="1012"/>
    <s v="Monitor"/>
    <n v="1"/>
    <n v="1186"/>
    <s v="Electronics"/>
    <n v="463"/>
    <n v="0.23"/>
    <x v="61"/>
    <n v="913.22"/>
    <x v="60"/>
    <s v="Low Value"/>
    <s v="Monitor"/>
  </r>
  <r>
    <s v="Q3-004"/>
    <d v="2025-07-06T05:37:07"/>
    <x v="3"/>
    <n v="1019"/>
    <s v="Laptop"/>
    <n v="3"/>
    <n v="603"/>
    <s v="Electronics"/>
    <n v="469"/>
    <n v="0.22"/>
    <x v="62"/>
    <n v="1411.02"/>
    <x v="61"/>
    <s v="Low Value"/>
    <s v="Laptop"/>
  </r>
  <r>
    <s v="Q3-014"/>
    <d v="2025-07-11T12:28:58"/>
    <x v="1"/>
    <n v="1005"/>
    <s v="Tablet"/>
    <n v="8"/>
    <n v="1707"/>
    <s v="Electronics"/>
    <n v="492"/>
    <n v="0.14000000000000001"/>
    <x v="63"/>
    <n v="11744.16"/>
    <x v="62"/>
    <s v="Low Value"/>
    <s v="Tablet"/>
  </r>
  <r>
    <s v="Q3-005"/>
    <d v="2025-07-12T16:09:44"/>
    <x v="2"/>
    <n v="1006"/>
    <s v="Monitor"/>
    <n v="8"/>
    <n v="1987"/>
    <s v="Electronics"/>
    <n v="463"/>
    <n v="0.23"/>
    <x v="64"/>
    <n v="12239.92"/>
    <x v="63"/>
    <s v="Low Value"/>
    <s v="Monitor"/>
  </r>
  <r>
    <s v="Q3-008"/>
    <d v="2025-07-19T08:02:05"/>
    <x v="2"/>
    <n v="1015"/>
    <s v="Smartphone"/>
    <n v="4"/>
    <n v="1461"/>
    <s v="Electronics"/>
    <n v="97"/>
    <n v="0.08"/>
    <x v="65"/>
    <n v="5376.4800000000005"/>
    <x v="64"/>
    <s v="Low Value"/>
    <s v="Smartphone"/>
  </r>
  <r>
    <s v="Q3-026"/>
    <d v="2025-07-20T08:37:46"/>
    <x v="1"/>
    <n v="1017"/>
    <s v="Smartphone"/>
    <n v="9"/>
    <n v="472"/>
    <s v="Electronics"/>
    <n v="97"/>
    <n v="0.08"/>
    <x v="66"/>
    <n v="3908.1600000000003"/>
    <x v="65"/>
    <s v="Low Value"/>
    <s v="Smartphone"/>
  </r>
  <r>
    <s v="Q3-002"/>
    <d v="2025-07-21T11:59:20"/>
    <x v="2"/>
    <n v="1001"/>
    <s v="Monitor"/>
    <n v="1"/>
    <n v="233"/>
    <s v="Electronics"/>
    <n v="463"/>
    <n v="0.23"/>
    <x v="67"/>
    <n v="179.41"/>
    <x v="66"/>
    <s v="Low Value"/>
    <s v="Monitor"/>
  </r>
  <r>
    <s v="Q3-028"/>
    <d v="2025-07-23T06:59:14"/>
    <x v="0"/>
    <n v="1018"/>
    <s v="Laptop"/>
    <n v="4"/>
    <n v="1817"/>
    <s v="Electronics"/>
    <n v="469"/>
    <n v="0.22"/>
    <x v="68"/>
    <n v="5669.04"/>
    <x v="67"/>
    <s v="Low Value"/>
    <s v="Laptop"/>
  </r>
  <r>
    <s v="Q3-027"/>
    <d v="2025-07-24T13:05:26"/>
    <x v="3"/>
    <n v="1002"/>
    <s v="Laptop"/>
    <n v="9"/>
    <n v="132"/>
    <s v="Electronics"/>
    <n v="469"/>
    <n v="0.22"/>
    <x v="69"/>
    <n v="926.64"/>
    <x v="68"/>
    <s v="Low Value"/>
    <s v="Laptop"/>
  </r>
  <r>
    <s v="Q3-019"/>
    <d v="2025-07-29T19:10:36"/>
    <x v="1"/>
    <n v="1017"/>
    <s v="Laptop"/>
    <n v="8"/>
    <n v="1150"/>
    <s v="Electronics"/>
    <n v="469"/>
    <n v="0.22"/>
    <x v="70"/>
    <n v="7176"/>
    <x v="69"/>
    <s v="Low Value"/>
    <s v="Laptop"/>
  </r>
  <r>
    <s v="Q3-012"/>
    <d v="2025-07-30T02:18:33"/>
    <x v="1"/>
    <n v="1011"/>
    <s v="Tablet"/>
    <n v="3"/>
    <n v="1634"/>
    <s v="Electronics"/>
    <n v="492"/>
    <n v="0.14000000000000001"/>
    <x v="71"/>
    <n v="4215.72"/>
    <x v="70"/>
    <s v="Low Value"/>
    <s v="Tablet"/>
  </r>
  <r>
    <s v="Q3-015"/>
    <d v="2025-08-04T02:22:47"/>
    <x v="0"/>
    <n v="1004"/>
    <s v="Laptop"/>
    <n v="4"/>
    <n v="960"/>
    <s v="Electronics"/>
    <n v="469"/>
    <n v="0.22"/>
    <x v="72"/>
    <n v="2995.2000000000003"/>
    <x v="71"/>
    <s v="Low Value"/>
    <s v="Laptop"/>
  </r>
  <r>
    <s v="Q3-023"/>
    <d v="2025-08-05T02:56:56"/>
    <x v="3"/>
    <n v="1001"/>
    <s v="Laptop"/>
    <n v="6"/>
    <n v="272"/>
    <s v="Electronics"/>
    <n v="469"/>
    <n v="0.22"/>
    <x v="73"/>
    <n v="1272.96"/>
    <x v="72"/>
    <s v="Low Value"/>
    <s v="Laptop"/>
  </r>
  <r>
    <s v="Q3-024"/>
    <d v="2025-08-06T10:48:58"/>
    <x v="2"/>
    <n v="1014"/>
    <s v="Headphones"/>
    <n v="9"/>
    <n v="1794"/>
    <s v="Accessories"/>
    <n v="323"/>
    <n v="0.1"/>
    <x v="74"/>
    <n v="14531.4"/>
    <x v="73"/>
    <s v="Low Value"/>
    <s v="Headphones"/>
  </r>
  <r>
    <s v="Q3-020"/>
    <d v="2025-08-11T16:50:37"/>
    <x v="0"/>
    <n v="1019"/>
    <s v="Tablet"/>
    <n v="2"/>
    <n v="508"/>
    <s v="Electronics"/>
    <n v="492"/>
    <n v="0.14000000000000001"/>
    <x v="75"/>
    <n v="873.76"/>
    <x v="74"/>
    <s v="Low Value"/>
    <s v="Tablet"/>
  </r>
  <r>
    <s v="Q3-007"/>
    <d v="2025-08-17T07:43:17"/>
    <x v="3"/>
    <n v="1006"/>
    <s v="Headphones"/>
    <n v="2"/>
    <n v="1742"/>
    <s v="Accessories"/>
    <n v="323"/>
    <n v="0.1"/>
    <x v="76"/>
    <n v="3135.6"/>
    <x v="75"/>
    <s v="Low Value"/>
    <s v="Headphones"/>
  </r>
  <r>
    <s v="Q3-029"/>
    <d v="2025-08-20T15:47:14"/>
    <x v="0"/>
    <n v="1019"/>
    <s v="Monitor"/>
    <n v="5"/>
    <n v="698"/>
    <s v="Electronics"/>
    <n v="463"/>
    <n v="0.23"/>
    <x v="77"/>
    <n v="2687.3"/>
    <x v="76"/>
    <s v="Low Value"/>
    <s v="Monitor"/>
  </r>
  <r>
    <s v="Q3-006"/>
    <d v="2025-08-22T18:59:12"/>
    <x v="0"/>
    <n v="1008"/>
    <s v="Laptop"/>
    <n v="3"/>
    <n v="589"/>
    <s v="Electronics"/>
    <n v="469"/>
    <n v="0.22"/>
    <x v="78"/>
    <n v="1378.26"/>
    <x v="77"/>
    <s v="Low Value"/>
    <s v="Laptop"/>
  </r>
  <r>
    <s v="Q3-003"/>
    <d v="2025-08-25T12:07:21"/>
    <x v="1"/>
    <n v="1010"/>
    <s v="Smartphone"/>
    <n v="9"/>
    <n v="312"/>
    <s v="Electronics"/>
    <n v="97"/>
    <n v="0.08"/>
    <x v="79"/>
    <n v="2583.36"/>
    <x v="78"/>
    <s v="Low Value"/>
    <s v="Smartphone"/>
  </r>
  <r>
    <s v="Q3-025"/>
    <d v="2025-08-26T20:17:21"/>
    <x v="2"/>
    <n v="1006"/>
    <s v="Monitor"/>
    <n v="5"/>
    <n v="757"/>
    <s v="Electronics"/>
    <n v="463"/>
    <n v="0.23"/>
    <x v="80"/>
    <n v="2914.4500000000003"/>
    <x v="79"/>
    <s v="Low Value"/>
    <s v="Monitor"/>
  </r>
  <r>
    <s v="Q3-011"/>
    <d v="2025-08-28T03:43:39"/>
    <x v="0"/>
    <n v="1002"/>
    <s v="Headphones"/>
    <n v="2"/>
    <n v="1265"/>
    <s v="Accessories"/>
    <n v="323"/>
    <n v="0.1"/>
    <x v="81"/>
    <n v="2277"/>
    <x v="80"/>
    <s v="Low Value"/>
    <s v="Headphones"/>
  </r>
  <r>
    <s v="Q3-030"/>
    <d v="2025-08-29T06:12:15"/>
    <x v="1"/>
    <n v="1003"/>
    <s v="Monitor"/>
    <n v="3"/>
    <n v="651"/>
    <s v="Electronics"/>
    <n v="463"/>
    <n v="0.23"/>
    <x v="82"/>
    <n v="1503.81"/>
    <x v="81"/>
    <s v="Low Value"/>
    <s v="Monitor"/>
  </r>
  <r>
    <s v="Q3-017"/>
    <d v="2025-09-06T10:37:20"/>
    <x v="2"/>
    <n v="1017"/>
    <s v="Printer"/>
    <n v="2"/>
    <n v="300"/>
    <s v="Office"/>
    <n v="136"/>
    <n v="0.1"/>
    <x v="83"/>
    <n v="540"/>
    <x v="82"/>
    <s v="Low Value"/>
    <s v="Printer"/>
  </r>
  <r>
    <s v="Q3-018"/>
    <d v="2025-09-11T18:57:24"/>
    <x v="1"/>
    <n v="1001"/>
    <s v="Laptop"/>
    <n v="7"/>
    <n v="608"/>
    <s v="Electronics"/>
    <n v="469"/>
    <n v="0.22"/>
    <x v="84"/>
    <n v="3319.6800000000003"/>
    <x v="83"/>
    <s v="Low Value"/>
    <s v="Laptop"/>
  </r>
  <r>
    <s v="Q3-009"/>
    <d v="2025-09-14T07:32:35"/>
    <x v="2"/>
    <n v="1002"/>
    <s v="Laptop"/>
    <n v="3"/>
    <n v="1133"/>
    <s v="Electronics"/>
    <n v="469"/>
    <n v="0.22"/>
    <x v="85"/>
    <n v="2651.2200000000003"/>
    <x v="84"/>
    <s v="Low Value"/>
    <s v="Laptop"/>
  </r>
  <r>
    <s v="Q3-013"/>
    <d v="2025-09-16T22:58:49"/>
    <x v="3"/>
    <n v="1012"/>
    <s v="Printer"/>
    <n v="3"/>
    <n v="144"/>
    <s v="Office"/>
    <n v="136"/>
    <n v="0.1"/>
    <x v="86"/>
    <n v="388.8"/>
    <x v="85"/>
    <s v="Low Value"/>
    <s v="Printer"/>
  </r>
  <r>
    <s v="Q3-016"/>
    <d v="2025-09-26T05:20:38"/>
    <x v="1"/>
    <n v="1017"/>
    <s v="Laptop"/>
    <n v="5"/>
    <n v="1416"/>
    <s v="Electronics"/>
    <n v="469"/>
    <n v="0.22"/>
    <x v="87"/>
    <n v="5522.4000000000005"/>
    <x v="86"/>
    <s v="Low Value"/>
    <s v="Laptop"/>
  </r>
  <r>
    <s v="Q3-021"/>
    <d v="2025-09-26T05:54:47"/>
    <x v="2"/>
    <n v="1019"/>
    <s v="Tablet"/>
    <n v="1"/>
    <n v="1272"/>
    <s v="Electronics"/>
    <n v="492"/>
    <n v="0.14000000000000001"/>
    <x v="88"/>
    <n v="1093.92"/>
    <x v="87"/>
    <s v="Low Value"/>
    <s v="Tablet"/>
  </r>
  <r>
    <s v="Q3-010"/>
    <d v="2025-09-26T13:57:30"/>
    <x v="3"/>
    <n v="1018"/>
    <s v="Monitor"/>
    <n v="5"/>
    <n v="644"/>
    <s v="Electronics"/>
    <n v="463"/>
    <n v="0.23"/>
    <x v="89"/>
    <n v="2479.4"/>
    <x v="88"/>
    <s v="Low Value"/>
    <s v="Monitor"/>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s v="Q1-026"/>
    <x v="0"/>
    <x v="0"/>
    <n v="1009"/>
    <x v="0"/>
    <n v="1"/>
    <n v="1841"/>
    <x v="0"/>
    <n v="323"/>
    <n v="0.1"/>
    <n v="1841"/>
    <n v="1656.9"/>
    <n v="-24122"/>
    <s v="Low Value"/>
    <s v="Headphones"/>
    <s v="Accessories"/>
    <n v="323"/>
    <n v="3"/>
  </r>
  <r>
    <s v="Q1-023"/>
    <x v="1"/>
    <x v="1"/>
    <n v="1006"/>
    <x v="1"/>
    <n v="3"/>
    <n v="1752"/>
    <x v="1"/>
    <n v="469"/>
    <n v="0.22"/>
    <n v="5256"/>
    <n v="4099.68"/>
    <n v="-21791"/>
    <s v="Low Value"/>
    <s v="Laptop"/>
    <s v="Electronics"/>
    <n v="469"/>
    <n v="3"/>
  </r>
  <r>
    <s v="Q1-012"/>
    <x v="2"/>
    <x v="2"/>
    <n v="1016"/>
    <x v="1"/>
    <n v="3"/>
    <n v="1692"/>
    <x v="1"/>
    <n v="469"/>
    <n v="0.22"/>
    <n v="5076"/>
    <n v="3959.28"/>
    <n v="-21971"/>
    <s v="Low Value"/>
    <s v="Laptop"/>
    <s v="Electronics"/>
    <n v="469"/>
    <n v="8"/>
  </r>
  <r>
    <s v="Q1-005"/>
    <x v="3"/>
    <x v="0"/>
    <n v="1012"/>
    <x v="1"/>
    <n v="2"/>
    <n v="709"/>
    <x v="1"/>
    <n v="469"/>
    <n v="0.22"/>
    <n v="1418"/>
    <n v="1106.04"/>
    <n v="-25160"/>
    <s v="Low Value"/>
    <s v="Laptop"/>
    <s v="Electronics"/>
    <n v="469"/>
    <n v="5"/>
  </r>
  <r>
    <s v="Q1-030"/>
    <x v="4"/>
    <x v="3"/>
    <n v="1016"/>
    <x v="2"/>
    <n v="5"/>
    <n v="1119"/>
    <x v="1"/>
    <n v="463"/>
    <n v="0.23"/>
    <n v="5595"/>
    <n v="4308.1500000000005"/>
    <n v="-22360"/>
    <s v="Low Value"/>
    <s v="Monitor"/>
    <s v="Electronics"/>
    <n v="463"/>
    <n v="2"/>
  </r>
  <r>
    <s v="Q1-009"/>
    <x v="5"/>
    <x v="2"/>
    <n v="1020"/>
    <x v="3"/>
    <n v="1"/>
    <n v="1220"/>
    <x v="2"/>
    <n v="136"/>
    <n v="0.1"/>
    <n v="1220"/>
    <n v="1098"/>
    <n v="-24556"/>
    <s v="Low Value"/>
    <s v="Printer"/>
    <s v="Office"/>
    <n v="136"/>
    <n v="2"/>
  </r>
  <r>
    <s v="Q1-015"/>
    <x v="6"/>
    <x v="2"/>
    <n v="1016"/>
    <x v="2"/>
    <n v="3"/>
    <n v="1355"/>
    <x v="1"/>
    <n v="463"/>
    <n v="0.23"/>
    <n v="4065"/>
    <n v="3130.05"/>
    <n v="-22964"/>
    <s v="Low Value"/>
    <s v="Monitor"/>
    <s v="Electronics"/>
    <n v="463"/>
    <n v="4"/>
  </r>
  <r>
    <s v="Q1-011"/>
    <x v="7"/>
    <x v="1"/>
    <n v="1019"/>
    <x v="1"/>
    <n v="9"/>
    <n v="417"/>
    <x v="1"/>
    <n v="469"/>
    <n v="0.22"/>
    <n v="3753"/>
    <n v="2927.34"/>
    <n v="-26108"/>
    <s v="Low Value"/>
    <s v="Laptop"/>
    <s v="Electronics"/>
    <n v="469"/>
    <n v="8"/>
  </r>
  <r>
    <s v="Q1-028"/>
    <x v="8"/>
    <x v="1"/>
    <n v="1003"/>
    <x v="2"/>
    <n v="6"/>
    <n v="1011"/>
    <x v="1"/>
    <n v="463"/>
    <n v="0.23"/>
    <n v="6066"/>
    <n v="4670.82"/>
    <n v="3288"/>
    <s v="Low Value"/>
    <s v="Monitor"/>
    <s v="Electronics"/>
    <n v="463"/>
    <n v="2"/>
  </r>
  <r>
    <s v="Q1-017"/>
    <x v="9"/>
    <x v="0"/>
    <n v="1008"/>
    <x v="4"/>
    <n v="3"/>
    <n v="605"/>
    <x v="1"/>
    <n v="97"/>
    <n v="0.08"/>
    <n v="1815"/>
    <n v="1669.8000000000002"/>
    <n v="-24116"/>
    <s v="Low Value"/>
    <s v="Smartphone"/>
    <s v="Electronics"/>
    <n v="97"/>
    <n v="6"/>
  </r>
  <r>
    <s v="Q1-013"/>
    <x v="10"/>
    <x v="3"/>
    <n v="1001"/>
    <x v="3"/>
    <n v="4"/>
    <n v="1853"/>
    <x v="2"/>
    <n v="136"/>
    <n v="0.1"/>
    <n v="7412"/>
    <n v="6670.8"/>
    <n v="-36452"/>
    <s v="Low Value"/>
    <s v="Printer"/>
    <s v="Office"/>
    <n v="136"/>
    <n v="1"/>
  </r>
  <r>
    <s v="Q1-019"/>
    <x v="11"/>
    <x v="0"/>
    <n v="1010"/>
    <x v="0"/>
    <n v="1"/>
    <n v="1621"/>
    <x v="0"/>
    <n v="323"/>
    <n v="0.1"/>
    <n v="1621"/>
    <n v="1458.9"/>
    <n v="1298"/>
    <s v="Low Value"/>
    <s v="Headphones"/>
    <s v="Accessories"/>
    <n v="323"/>
    <n v="2"/>
  </r>
  <r>
    <s v="Q1-004"/>
    <x v="12"/>
    <x v="3"/>
    <n v="1018"/>
    <x v="4"/>
    <n v="8"/>
    <n v="726"/>
    <x v="1"/>
    <n v="97"/>
    <n v="0.08"/>
    <n v="5808"/>
    <n v="5343.3600000000006"/>
    <n v="-38288"/>
    <s v="Low Value"/>
    <s v="Smartphone"/>
    <s v="Electronics"/>
    <n v="97"/>
    <n v="4"/>
  </r>
  <r>
    <s v="Q1-008"/>
    <x v="13"/>
    <x v="2"/>
    <n v="1014"/>
    <x v="5"/>
    <n v="5"/>
    <n v="1134"/>
    <x v="1"/>
    <n v="492"/>
    <n v="0.14000000000000001"/>
    <n v="5670"/>
    <n v="4876.2"/>
    <n v="-40110"/>
    <s v="Low Value"/>
    <s v="Tablet"/>
    <s v="Electronics"/>
    <n v="492"/>
    <n v="8"/>
  </r>
  <r>
    <s v="Q1-001"/>
    <x v="14"/>
    <x v="2"/>
    <n v="1018"/>
    <x v="5"/>
    <n v="1"/>
    <n v="730"/>
    <x v="1"/>
    <n v="492"/>
    <n v="0.14000000000000001"/>
    <n v="730"/>
    <n v="627.79999999999995"/>
    <n v="-43082"/>
    <s v="Low Value"/>
    <s v="Tablet"/>
    <s v="Electronics"/>
    <n v="492"/>
    <n v="5"/>
  </r>
  <r>
    <s v="Q1-025"/>
    <x v="15"/>
    <x v="2"/>
    <n v="1007"/>
    <x v="2"/>
    <n v="8"/>
    <n v="1770"/>
    <x v="1"/>
    <n v="463"/>
    <n v="0.23"/>
    <n v="14160"/>
    <n v="10903.2"/>
    <n v="10456"/>
    <s v="Low Value"/>
    <s v="Monitor"/>
    <s v="Electronics"/>
    <n v="463"/>
    <n v="9"/>
  </r>
  <r>
    <s v="Q1-002"/>
    <x v="16"/>
    <x v="2"/>
    <n v="1004"/>
    <x v="0"/>
    <n v="3"/>
    <n v="378"/>
    <x v="0"/>
    <n v="323"/>
    <n v="0.1"/>
    <n v="1134"/>
    <n v="1020.6"/>
    <n v="-43155"/>
    <s v="Low Value"/>
    <s v="Headphones"/>
    <s v="Accessories"/>
    <n v="323"/>
    <n v="2"/>
  </r>
  <r>
    <s v="Q1-021"/>
    <x v="17"/>
    <x v="2"/>
    <n v="1008"/>
    <x v="0"/>
    <n v="7"/>
    <n v="241"/>
    <x v="0"/>
    <n v="323"/>
    <n v="0.1"/>
    <n v="1687"/>
    <n v="1518.3"/>
    <n v="-574"/>
    <s v="Low Value"/>
    <s v="Headphones"/>
    <s v="Accessories"/>
    <n v="323"/>
    <n v="8"/>
  </r>
  <r>
    <s v="Q1-024"/>
    <x v="18"/>
    <x v="3"/>
    <n v="1020"/>
    <x v="0"/>
    <n v="8"/>
    <n v="911"/>
    <x v="0"/>
    <n v="323"/>
    <n v="0.1"/>
    <n v="7288"/>
    <n v="6559.2"/>
    <n v="4704"/>
    <s v="Low Value"/>
    <s v="Headphones"/>
    <s v="Accessories"/>
    <n v="323"/>
    <n v="1"/>
  </r>
  <r>
    <s v="Q1-006"/>
    <x v="19"/>
    <x v="3"/>
    <n v="1013"/>
    <x v="1"/>
    <n v="8"/>
    <n v="1817"/>
    <x v="1"/>
    <n v="469"/>
    <n v="0.22"/>
    <n v="14536"/>
    <n v="11338.08"/>
    <n v="-9295"/>
    <s v="Low Value"/>
    <s v="Laptop"/>
    <s v="Electronics"/>
    <n v="469"/>
    <n v="5"/>
  </r>
  <r>
    <s v="Q1-014"/>
    <x v="20"/>
    <x v="2"/>
    <n v="1005"/>
    <x v="3"/>
    <n v="2"/>
    <n v="505"/>
    <x v="2"/>
    <n v="136"/>
    <n v="0.1"/>
    <n v="1010"/>
    <n v="909"/>
    <n v="738"/>
    <s v="Low Value"/>
    <s v="Printer"/>
    <s v="Office"/>
    <n v="136"/>
    <n v="3"/>
  </r>
  <r>
    <s v="Q1-027"/>
    <x v="21"/>
    <x v="3"/>
    <n v="1001"/>
    <x v="2"/>
    <n v="7"/>
    <n v="796"/>
    <x v="1"/>
    <n v="463"/>
    <n v="0.23"/>
    <n v="5572"/>
    <n v="4290.4400000000005"/>
    <n v="2331"/>
    <s v="Low Value"/>
    <s v="Monitor"/>
    <s v="Electronics"/>
    <n v="463"/>
    <n v="6"/>
  </r>
  <r>
    <s v="Q1-018"/>
    <x v="22"/>
    <x v="2"/>
    <n v="1009"/>
    <x v="2"/>
    <n v="7"/>
    <n v="1149"/>
    <x v="1"/>
    <n v="463"/>
    <n v="0.23"/>
    <n v="8043"/>
    <n v="6193.1100000000006"/>
    <n v="4802"/>
    <s v="Low Value"/>
    <s v="Monitor"/>
    <s v="Electronics"/>
    <n v="463"/>
    <n v="9"/>
  </r>
  <r>
    <s v="Q1-029"/>
    <x v="23"/>
    <x v="1"/>
    <n v="1011"/>
    <x v="3"/>
    <n v="2"/>
    <n v="1660"/>
    <x v="2"/>
    <n v="136"/>
    <n v="0.1"/>
    <n v="3320"/>
    <n v="2988"/>
    <n v="3048"/>
    <s v="Low Value"/>
    <s v="Printer"/>
    <s v="Office"/>
    <n v="136"/>
    <n v="9"/>
  </r>
  <r>
    <s v="Q1-022"/>
    <x v="24"/>
    <x v="1"/>
    <n v="1005"/>
    <x v="3"/>
    <n v="7"/>
    <n v="1336"/>
    <x v="2"/>
    <n v="136"/>
    <n v="0.1"/>
    <n v="9352"/>
    <n v="8416.8000000000011"/>
    <n v="8400"/>
    <s v="Low Value"/>
    <s v="Printer"/>
    <s v="Office"/>
    <n v="136"/>
    <n v="7"/>
  </r>
  <r>
    <s v="Q1-007"/>
    <x v="25"/>
    <x v="2"/>
    <n v="1017"/>
    <x v="5"/>
    <n v="9"/>
    <n v="1976"/>
    <x v="1"/>
    <n v="492"/>
    <n v="0.14000000000000001"/>
    <n v="17784"/>
    <n v="15294.24"/>
    <n v="-20791"/>
    <s v="Low Value"/>
    <s v="Tablet"/>
    <s v="Electronics"/>
    <n v="492"/>
    <n v="4"/>
  </r>
  <r>
    <s v="Q1-003"/>
    <x v="26"/>
    <x v="1"/>
    <n v="1005"/>
    <x v="2"/>
    <n v="1"/>
    <n v="585"/>
    <x v="1"/>
    <n v="463"/>
    <n v="0.23"/>
    <n v="585"/>
    <n v="450.45"/>
    <n v="-34025"/>
    <s v="Low Value"/>
    <s v="Monitor"/>
    <s v="Electronics"/>
    <n v="463"/>
    <n v="6"/>
  </r>
  <r>
    <s v="Q1-020"/>
    <x v="27"/>
    <x v="0"/>
    <n v="1004"/>
    <x v="3"/>
    <n v="3"/>
    <n v="1010"/>
    <x v="2"/>
    <n v="136"/>
    <n v="0.1"/>
    <n v="3030"/>
    <n v="2727"/>
    <n v="2622"/>
    <s v="Low Value"/>
    <s v="Printer"/>
    <s v="Office"/>
    <n v="136"/>
    <n v="1"/>
  </r>
  <r>
    <s v="Q1-016"/>
    <x v="28"/>
    <x v="0"/>
    <n v="1003"/>
    <x v="3"/>
    <n v="8"/>
    <n v="1220"/>
    <x v="2"/>
    <n v="136"/>
    <n v="0.1"/>
    <n v="9760"/>
    <n v="8784"/>
    <n v="8672"/>
    <s v="Low Value"/>
    <s v="Printer"/>
    <s v="Office"/>
    <n v="136"/>
    <n v="3"/>
  </r>
  <r>
    <s v="Q1-010"/>
    <x v="29"/>
    <x v="1"/>
    <n v="1010"/>
    <x v="0"/>
    <n v="2"/>
    <n v="283"/>
    <x v="0"/>
    <n v="323"/>
    <n v="0.1"/>
    <n v="566"/>
    <n v="509.40000000000003"/>
    <n v="-80"/>
    <s v="Low Value"/>
    <s v="Headphones"/>
    <s v="Accessories"/>
    <n v="323"/>
    <n v="2"/>
  </r>
  <r>
    <s v="Q2-019"/>
    <x v="30"/>
    <x v="0"/>
    <n v="1010"/>
    <x v="3"/>
    <n v="1"/>
    <n v="648"/>
    <x v="2"/>
    <n v="136"/>
    <n v="0.1"/>
    <n v="648"/>
    <n v="583.20000000000005"/>
    <n v="512"/>
    <s v="Low Value"/>
    <s v="Printer"/>
    <s v="Office"/>
    <n v="136"/>
    <n v="8"/>
  </r>
  <r>
    <s v="Q2-030"/>
    <x v="31"/>
    <x v="3"/>
    <n v="1006"/>
    <x v="0"/>
    <n v="2"/>
    <n v="1035"/>
    <x v="0"/>
    <n v="323"/>
    <n v="0.1"/>
    <n v="2070"/>
    <n v="1863"/>
    <n v="1424"/>
    <s v="Low Value"/>
    <s v="Headphones"/>
    <s v="Accessories"/>
    <n v="323"/>
    <n v="8"/>
  </r>
  <r>
    <s v="Q2-011"/>
    <x v="32"/>
    <x v="2"/>
    <n v="1012"/>
    <x v="0"/>
    <n v="3"/>
    <n v="1781"/>
    <x v="0"/>
    <n v="323"/>
    <n v="0.1"/>
    <n v="5343"/>
    <n v="4808.7"/>
    <n v="4374"/>
    <s v="Low Value"/>
    <s v="Headphones"/>
    <s v="Accessories"/>
    <n v="323"/>
    <n v="5"/>
  </r>
  <r>
    <s v="Q2-014"/>
    <x v="33"/>
    <x v="0"/>
    <n v="1009"/>
    <x v="1"/>
    <n v="8"/>
    <n v="1539"/>
    <x v="1"/>
    <n v="469"/>
    <n v="0.22"/>
    <n v="12312"/>
    <n v="9603.36"/>
    <n v="8560"/>
    <s v="Low Value"/>
    <s v="Laptop"/>
    <s v="Electronics"/>
    <n v="469"/>
    <n v="4"/>
  </r>
  <r>
    <s v="Q2-026"/>
    <x v="34"/>
    <x v="3"/>
    <n v="1005"/>
    <x v="3"/>
    <n v="2"/>
    <n v="109"/>
    <x v="2"/>
    <n v="136"/>
    <n v="0.1"/>
    <n v="218"/>
    <n v="196.20000000000002"/>
    <n v="-54"/>
    <s v="Low Value"/>
    <s v="Printer"/>
    <s v="Office"/>
    <n v="136"/>
    <n v="2"/>
  </r>
  <r>
    <s v="Q2-009"/>
    <x v="35"/>
    <x v="1"/>
    <n v="1020"/>
    <x v="1"/>
    <n v="8"/>
    <n v="1331"/>
    <x v="1"/>
    <n v="469"/>
    <n v="0.22"/>
    <n v="10648"/>
    <n v="8305.44"/>
    <n v="6896"/>
    <s v="Low Value"/>
    <s v="Laptop"/>
    <s v="Electronics"/>
    <n v="469"/>
    <n v="7"/>
  </r>
  <r>
    <s v="Q2-010"/>
    <x v="36"/>
    <x v="1"/>
    <n v="1001"/>
    <x v="4"/>
    <n v="2"/>
    <n v="222"/>
    <x v="1"/>
    <n v="97"/>
    <n v="0.08"/>
    <n v="444"/>
    <n v="408.48"/>
    <n v="250"/>
    <s v="Low Value"/>
    <s v="Smartphone"/>
    <s v="Electronics"/>
    <n v="97"/>
    <n v="4"/>
  </r>
  <r>
    <s v="Q2-007"/>
    <x v="37"/>
    <x v="3"/>
    <n v="1010"/>
    <x v="3"/>
    <n v="5"/>
    <n v="1485"/>
    <x v="2"/>
    <n v="136"/>
    <n v="0.1"/>
    <n v="7425"/>
    <n v="6682.5"/>
    <n v="6745"/>
    <s v="Low Value"/>
    <s v="Printer"/>
    <s v="Office"/>
    <n v="136"/>
    <n v="1"/>
  </r>
  <r>
    <s v="Q2-008"/>
    <x v="38"/>
    <x v="3"/>
    <n v="1015"/>
    <x v="4"/>
    <n v="3"/>
    <n v="1472"/>
    <x v="1"/>
    <n v="97"/>
    <n v="0.08"/>
    <n v="4416"/>
    <n v="4062.7200000000003"/>
    <n v="4125"/>
    <s v="Low Value"/>
    <s v="Smartphone"/>
    <s v="Electronics"/>
    <n v="97"/>
    <n v="4"/>
  </r>
  <r>
    <s v="Q2-001"/>
    <x v="39"/>
    <x v="0"/>
    <n v="1016"/>
    <x v="5"/>
    <n v="7"/>
    <n v="1039"/>
    <x v="1"/>
    <n v="492"/>
    <n v="0.14000000000000001"/>
    <n v="7273"/>
    <n v="6254.78"/>
    <n v="3829"/>
    <s v="Low Value"/>
    <s v="Tablet"/>
    <s v="Electronics"/>
    <n v="492"/>
    <n v="6"/>
  </r>
  <r>
    <s v="Q2-028"/>
    <x v="40"/>
    <x v="3"/>
    <n v="1018"/>
    <x v="0"/>
    <n v="7"/>
    <n v="520"/>
    <x v="0"/>
    <n v="323"/>
    <n v="0.1"/>
    <n v="3640"/>
    <n v="3276"/>
    <n v="1379"/>
    <s v="Low Value"/>
    <s v="Headphones"/>
    <s v="Accessories"/>
    <n v="323"/>
    <n v="7"/>
  </r>
  <r>
    <s v="Q2-005"/>
    <x v="41"/>
    <x v="0"/>
    <n v="1018"/>
    <x v="0"/>
    <n v="9"/>
    <n v="1259"/>
    <x v="0"/>
    <n v="323"/>
    <n v="0.1"/>
    <n v="11331"/>
    <n v="10197.9"/>
    <n v="8424"/>
    <s v="Low Value"/>
    <s v="Headphones"/>
    <s v="Accessories"/>
    <n v="323"/>
    <n v="4"/>
  </r>
  <r>
    <s v="Q2-022"/>
    <x v="42"/>
    <x v="1"/>
    <n v="1007"/>
    <x v="4"/>
    <n v="6"/>
    <n v="1219"/>
    <x v="1"/>
    <n v="97"/>
    <n v="0.08"/>
    <n v="7314"/>
    <n v="6728.88"/>
    <n v="6732"/>
    <s v="Low Value"/>
    <s v="Smartphone"/>
    <s v="Electronics"/>
    <n v="97"/>
    <n v="3"/>
  </r>
  <r>
    <s v="Q2-003"/>
    <x v="43"/>
    <x v="1"/>
    <n v="1014"/>
    <x v="2"/>
    <n v="5"/>
    <n v="1951"/>
    <x v="1"/>
    <n v="463"/>
    <n v="0.23"/>
    <n v="9755"/>
    <n v="7511.35"/>
    <n v="7440"/>
    <s v="Low Value"/>
    <s v="Monitor"/>
    <s v="Electronics"/>
    <n v="463"/>
    <n v="3"/>
  </r>
  <r>
    <s v="Q2-027"/>
    <x v="44"/>
    <x v="0"/>
    <n v="1009"/>
    <x v="4"/>
    <n v="9"/>
    <n v="249"/>
    <x v="1"/>
    <n v="97"/>
    <n v="0.08"/>
    <n v="2241"/>
    <n v="2061.7200000000003"/>
    <n v="1368"/>
    <s v="Low Value"/>
    <s v="Smartphone"/>
    <s v="Electronics"/>
    <n v="97"/>
    <n v="7"/>
  </r>
  <r>
    <s v="Q2-017"/>
    <x v="45"/>
    <x v="0"/>
    <n v="1009"/>
    <x v="3"/>
    <n v="1"/>
    <n v="398"/>
    <x v="2"/>
    <n v="136"/>
    <n v="0.1"/>
    <n v="398"/>
    <n v="358.2"/>
    <n v="262"/>
    <s v="Low Value"/>
    <s v="Printer"/>
    <s v="Office"/>
    <n v="136"/>
    <n v="5"/>
  </r>
  <r>
    <s v="Q2-015"/>
    <x v="46"/>
    <x v="0"/>
    <n v="1013"/>
    <x v="3"/>
    <n v="2"/>
    <n v="1414"/>
    <x v="2"/>
    <n v="136"/>
    <n v="0.1"/>
    <n v="2828"/>
    <n v="2545.2000000000003"/>
    <n v="2556"/>
    <s v="Low Value"/>
    <s v="Printer"/>
    <s v="Office"/>
    <n v="136"/>
    <n v="1"/>
  </r>
  <r>
    <s v="Q2-016"/>
    <x v="47"/>
    <x v="3"/>
    <n v="1011"/>
    <x v="0"/>
    <n v="9"/>
    <n v="1076"/>
    <x v="0"/>
    <n v="323"/>
    <n v="0.1"/>
    <n v="9684"/>
    <n v="8715.6"/>
    <n v="6777"/>
    <s v="Low Value"/>
    <s v="Headphones"/>
    <s v="Accessories"/>
    <n v="323"/>
    <n v="5"/>
  </r>
  <r>
    <s v="Q2-004"/>
    <x v="48"/>
    <x v="2"/>
    <n v="1009"/>
    <x v="4"/>
    <n v="1"/>
    <n v="1187"/>
    <x v="1"/>
    <n v="97"/>
    <n v="0.08"/>
    <n v="1187"/>
    <n v="1092.04"/>
    <n v="1090"/>
    <s v="Low Value"/>
    <s v="Smartphone"/>
    <s v="Electronics"/>
    <n v="97"/>
    <n v="9"/>
  </r>
  <r>
    <s v="Q2-024"/>
    <x v="49"/>
    <x v="1"/>
    <n v="1019"/>
    <x v="0"/>
    <n v="4"/>
    <n v="1964"/>
    <x v="0"/>
    <n v="323"/>
    <n v="0.1"/>
    <n v="7856"/>
    <n v="7070.4000000000005"/>
    <n v="6564"/>
    <s v="Low Value"/>
    <s v="Headphones"/>
    <s v="Accessories"/>
    <n v="323"/>
    <n v="3"/>
  </r>
  <r>
    <s v="Q2-023"/>
    <x v="50"/>
    <x v="2"/>
    <n v="1020"/>
    <x v="3"/>
    <n v="2"/>
    <n v="1169"/>
    <x v="2"/>
    <n v="136"/>
    <n v="0.1"/>
    <n v="2338"/>
    <n v="2104.2000000000003"/>
    <n v="2066"/>
    <s v="Low Value"/>
    <s v="Printer"/>
    <s v="Office"/>
    <n v="136"/>
    <n v="5"/>
  </r>
  <r>
    <s v="Q2-025"/>
    <x v="51"/>
    <x v="1"/>
    <n v="1002"/>
    <x v="5"/>
    <n v="4"/>
    <n v="1929"/>
    <x v="1"/>
    <n v="492"/>
    <n v="0.14000000000000001"/>
    <n v="7716"/>
    <n v="6635.76"/>
    <n v="5748"/>
    <s v="Low Value"/>
    <s v="Tablet"/>
    <s v="Electronics"/>
    <n v="492"/>
    <n v="8"/>
  </r>
  <r>
    <s v="Q2-018"/>
    <x v="52"/>
    <x v="3"/>
    <n v="1003"/>
    <x v="0"/>
    <n v="8"/>
    <n v="1684"/>
    <x v="0"/>
    <n v="323"/>
    <n v="0.1"/>
    <n v="13472"/>
    <n v="12124.800000000001"/>
    <n v="10888"/>
    <s v="Low Value"/>
    <s v="Headphones"/>
    <s v="Accessories"/>
    <n v="323"/>
    <n v="6"/>
  </r>
  <r>
    <s v="Q2-029"/>
    <x v="53"/>
    <x v="2"/>
    <n v="1007"/>
    <x v="2"/>
    <n v="9"/>
    <n v="854"/>
    <x v="1"/>
    <n v="463"/>
    <n v="0.23"/>
    <n v="7686"/>
    <n v="5918.22"/>
    <n v="3519"/>
    <s v="Low Value"/>
    <s v="Monitor"/>
    <s v="Electronics"/>
    <n v="463"/>
    <n v="1"/>
  </r>
  <r>
    <s v="Q2-020"/>
    <x v="54"/>
    <x v="3"/>
    <n v="1006"/>
    <x v="1"/>
    <n v="6"/>
    <n v="634"/>
    <x v="1"/>
    <n v="469"/>
    <n v="0.22"/>
    <n v="3804"/>
    <n v="2967.12"/>
    <n v="990"/>
    <s v="Low Value"/>
    <s v="Laptop"/>
    <s v="Electronics"/>
    <n v="469"/>
    <n v="7"/>
  </r>
  <r>
    <s v="Q2-002"/>
    <x v="55"/>
    <x v="1"/>
    <n v="1010"/>
    <x v="4"/>
    <n v="2"/>
    <n v="809"/>
    <x v="1"/>
    <n v="97"/>
    <n v="0.08"/>
    <n v="1618"/>
    <n v="1488.5600000000002"/>
    <n v="1424"/>
    <s v="Low Value"/>
    <s v="Smartphone"/>
    <s v="Electronics"/>
    <n v="97"/>
    <n v="5"/>
  </r>
  <r>
    <s v="Q2-012"/>
    <x v="56"/>
    <x v="1"/>
    <n v="1001"/>
    <x v="0"/>
    <n v="2"/>
    <n v="1545"/>
    <x v="0"/>
    <n v="323"/>
    <n v="0.1"/>
    <n v="3090"/>
    <n v="2781"/>
    <n v="2444"/>
    <s v="Low Value"/>
    <s v="Headphones"/>
    <s v="Accessories"/>
    <n v="323"/>
    <n v="8"/>
  </r>
  <r>
    <s v="Q2-013"/>
    <x v="57"/>
    <x v="3"/>
    <n v="1019"/>
    <x v="1"/>
    <n v="1"/>
    <n v="1437"/>
    <x v="1"/>
    <n v="469"/>
    <n v="0.22"/>
    <n v="1437"/>
    <n v="1120.8600000000001"/>
    <n v="968"/>
    <s v="Low Value"/>
    <s v="Laptop"/>
    <s v="Electronics"/>
    <n v="469"/>
    <n v="7"/>
  </r>
  <r>
    <s v="Q2-006"/>
    <x v="58"/>
    <x v="0"/>
    <n v="1010"/>
    <x v="2"/>
    <n v="6"/>
    <n v="1460"/>
    <x v="1"/>
    <n v="463"/>
    <n v="0.23"/>
    <n v="8760"/>
    <n v="6745.2"/>
    <n v="5982"/>
    <s v="Low Value"/>
    <s v="Monitor"/>
    <s v="Electronics"/>
    <n v="463"/>
    <n v="6"/>
  </r>
  <r>
    <s v="Q2-021"/>
    <x v="59"/>
    <x v="1"/>
    <n v="1007"/>
    <x v="1"/>
    <n v="3"/>
    <n v="119"/>
    <x v="1"/>
    <n v="469"/>
    <n v="0.22"/>
    <n v="357"/>
    <n v="278.46000000000004"/>
    <n v="-1050"/>
    <s v="Low Value"/>
    <s v="Laptop"/>
    <s v="Electronics"/>
    <n v="469"/>
    <n v="7"/>
  </r>
  <r>
    <s v="Q3-001"/>
    <x v="60"/>
    <x v="0"/>
    <n v="1001"/>
    <x v="2"/>
    <n v="4"/>
    <n v="160"/>
    <x v="1"/>
    <n v="463"/>
    <n v="0.23"/>
    <n v="640"/>
    <n v="492.8"/>
    <n v="-1212"/>
    <s v="Low Value"/>
    <s v="Monitor"/>
    <s v="Electronics"/>
    <n v="463"/>
    <n v="3"/>
  </r>
  <r>
    <s v="Q3-022"/>
    <x v="61"/>
    <x v="0"/>
    <n v="1012"/>
    <x v="2"/>
    <n v="1"/>
    <n v="1186"/>
    <x v="1"/>
    <n v="463"/>
    <n v="0.23"/>
    <n v="1186"/>
    <n v="913.22"/>
    <n v="723"/>
    <s v="Low Value"/>
    <s v="Monitor"/>
    <s v="Electronics"/>
    <n v="463"/>
    <n v="8"/>
  </r>
  <r>
    <s v="Q3-004"/>
    <x v="62"/>
    <x v="3"/>
    <n v="1019"/>
    <x v="1"/>
    <n v="3"/>
    <n v="603"/>
    <x v="1"/>
    <n v="469"/>
    <n v="0.22"/>
    <n v="1809"/>
    <n v="1411.02"/>
    <n v="402"/>
    <s v="Low Value"/>
    <s v="Laptop"/>
    <s v="Electronics"/>
    <n v="469"/>
    <n v="5"/>
  </r>
  <r>
    <s v="Q3-014"/>
    <x v="63"/>
    <x v="1"/>
    <n v="1005"/>
    <x v="5"/>
    <n v="8"/>
    <n v="1707"/>
    <x v="1"/>
    <n v="492"/>
    <n v="0.14000000000000001"/>
    <n v="13656"/>
    <n v="11744.16"/>
    <n v="9720"/>
    <s v="Low Value"/>
    <s v="Tablet"/>
    <s v="Electronics"/>
    <n v="492"/>
    <n v="6"/>
  </r>
  <r>
    <s v="Q3-005"/>
    <x v="64"/>
    <x v="2"/>
    <n v="1006"/>
    <x v="2"/>
    <n v="8"/>
    <n v="1987"/>
    <x v="1"/>
    <n v="463"/>
    <n v="0.23"/>
    <n v="15896"/>
    <n v="12239.92"/>
    <n v="12192"/>
    <s v="Low Value"/>
    <s v="Monitor"/>
    <s v="Electronics"/>
    <n v="463"/>
    <n v="3"/>
  </r>
  <r>
    <s v="Q3-008"/>
    <x v="65"/>
    <x v="2"/>
    <n v="1015"/>
    <x v="4"/>
    <n v="4"/>
    <n v="1461"/>
    <x v="1"/>
    <n v="97"/>
    <n v="0.08"/>
    <n v="5844"/>
    <n v="5376.4800000000005"/>
    <n v="5456"/>
    <s v="Low Value"/>
    <s v="Smartphone"/>
    <s v="Electronics"/>
    <n v="97"/>
    <n v="8"/>
  </r>
  <r>
    <s v="Q3-026"/>
    <x v="66"/>
    <x v="1"/>
    <n v="1017"/>
    <x v="4"/>
    <n v="9"/>
    <n v="472"/>
    <x v="1"/>
    <n v="97"/>
    <n v="0.08"/>
    <n v="4248"/>
    <n v="3908.1600000000003"/>
    <n v="3375"/>
    <s v="Low Value"/>
    <s v="Smartphone"/>
    <s v="Electronics"/>
    <n v="97"/>
    <n v="1"/>
  </r>
  <r>
    <s v="Q3-002"/>
    <x v="67"/>
    <x v="2"/>
    <n v="1001"/>
    <x v="2"/>
    <n v="1"/>
    <n v="233"/>
    <x v="1"/>
    <n v="463"/>
    <n v="0.23"/>
    <n v="233"/>
    <n v="179.41"/>
    <n v="-230"/>
    <s v="Low Value"/>
    <s v="Monitor"/>
    <s v="Electronics"/>
    <n v="463"/>
    <n v="4"/>
  </r>
  <r>
    <s v="Q3-028"/>
    <x v="68"/>
    <x v="0"/>
    <n v="1018"/>
    <x v="1"/>
    <n v="4"/>
    <n v="1817"/>
    <x v="1"/>
    <n v="469"/>
    <n v="0.22"/>
    <n v="7268"/>
    <n v="5669.04"/>
    <n v="5392"/>
    <s v="Low Value"/>
    <s v="Laptop"/>
    <s v="Electronics"/>
    <n v="469"/>
    <n v="3"/>
  </r>
  <r>
    <s v="Q3-027"/>
    <x v="69"/>
    <x v="3"/>
    <n v="1002"/>
    <x v="1"/>
    <n v="9"/>
    <n v="132"/>
    <x v="1"/>
    <n v="469"/>
    <n v="0.22"/>
    <n v="1188"/>
    <n v="926.64"/>
    <n v="-3033"/>
    <s v="Low Value"/>
    <s v="Laptop"/>
    <s v="Electronics"/>
    <n v="469"/>
    <n v="7"/>
  </r>
  <r>
    <s v="Q3-019"/>
    <x v="70"/>
    <x v="1"/>
    <n v="1017"/>
    <x v="1"/>
    <n v="8"/>
    <n v="1150"/>
    <x v="1"/>
    <n v="469"/>
    <n v="0.22"/>
    <n v="9200"/>
    <n v="7176"/>
    <n v="5448"/>
    <s v="Low Value"/>
    <s v="Laptop"/>
    <s v="Electronics"/>
    <n v="469"/>
    <n v="3"/>
  </r>
  <r>
    <s v="Q3-012"/>
    <x v="71"/>
    <x v="1"/>
    <n v="1011"/>
    <x v="5"/>
    <n v="3"/>
    <n v="1634"/>
    <x v="1"/>
    <n v="492"/>
    <n v="0.14000000000000001"/>
    <n v="4902"/>
    <n v="4215.72"/>
    <n v="3426"/>
    <s v="Low Value"/>
    <s v="Tablet"/>
    <s v="Electronics"/>
    <n v="492"/>
    <n v="7"/>
  </r>
  <r>
    <s v="Q3-015"/>
    <x v="72"/>
    <x v="0"/>
    <n v="1004"/>
    <x v="1"/>
    <n v="4"/>
    <n v="960"/>
    <x v="1"/>
    <n v="469"/>
    <n v="0.22"/>
    <n v="3840"/>
    <n v="2995.2000000000003"/>
    <n v="1964"/>
    <s v="Low Value"/>
    <s v="Laptop"/>
    <s v="Electronics"/>
    <n v="469"/>
    <n v="7"/>
  </r>
  <r>
    <s v="Q3-023"/>
    <x v="73"/>
    <x v="3"/>
    <n v="1001"/>
    <x v="1"/>
    <n v="6"/>
    <n v="272"/>
    <x v="1"/>
    <n v="469"/>
    <n v="0.22"/>
    <n v="1632"/>
    <n v="1272.96"/>
    <n v="-1182"/>
    <s v="Low Value"/>
    <s v="Laptop"/>
    <s v="Electronics"/>
    <n v="469"/>
    <n v="2"/>
  </r>
  <r>
    <s v="Q3-024"/>
    <x v="74"/>
    <x v="2"/>
    <n v="1014"/>
    <x v="0"/>
    <n v="9"/>
    <n v="1794"/>
    <x v="0"/>
    <n v="323"/>
    <n v="0.1"/>
    <n v="16146"/>
    <n v="14531.4"/>
    <n v="13239"/>
    <s v="Low Value"/>
    <s v="Headphones"/>
    <s v="Accessories"/>
    <n v="323"/>
    <n v="6"/>
  </r>
  <r>
    <s v="Q3-020"/>
    <x v="75"/>
    <x v="0"/>
    <n v="1019"/>
    <x v="5"/>
    <n v="2"/>
    <n v="508"/>
    <x v="1"/>
    <n v="492"/>
    <n v="0.14000000000000001"/>
    <n v="1016"/>
    <n v="873.76"/>
    <n v="32"/>
    <s v="Low Value"/>
    <s v="Tablet"/>
    <s v="Electronics"/>
    <n v="492"/>
    <n v="4"/>
  </r>
  <r>
    <s v="Q3-007"/>
    <x v="76"/>
    <x v="3"/>
    <n v="1006"/>
    <x v="0"/>
    <n v="2"/>
    <n v="1742"/>
    <x v="0"/>
    <n v="323"/>
    <n v="0.1"/>
    <n v="3484"/>
    <n v="3135.6"/>
    <n v="2838"/>
    <s v="Low Value"/>
    <s v="Headphones"/>
    <s v="Accessories"/>
    <n v="323"/>
    <n v="4"/>
  </r>
  <r>
    <s v="Q3-029"/>
    <x v="77"/>
    <x v="0"/>
    <n v="1019"/>
    <x v="2"/>
    <n v="5"/>
    <n v="698"/>
    <x v="1"/>
    <n v="463"/>
    <n v="0.23"/>
    <n v="3490"/>
    <n v="2687.3"/>
    <n v="1175"/>
    <s v="Low Value"/>
    <s v="Monitor"/>
    <s v="Electronics"/>
    <n v="463"/>
    <n v="4"/>
  </r>
  <r>
    <s v="Q3-006"/>
    <x v="78"/>
    <x v="0"/>
    <n v="1008"/>
    <x v="1"/>
    <n v="3"/>
    <n v="589"/>
    <x v="1"/>
    <n v="469"/>
    <n v="0.22"/>
    <n v="1767"/>
    <n v="1378.26"/>
    <n v="360"/>
    <s v="Low Value"/>
    <s v="Laptop"/>
    <s v="Electronics"/>
    <n v="469"/>
    <n v="5"/>
  </r>
  <r>
    <s v="Q3-003"/>
    <x v="79"/>
    <x v="1"/>
    <n v="1010"/>
    <x v="4"/>
    <n v="9"/>
    <n v="312"/>
    <x v="1"/>
    <n v="97"/>
    <n v="0.08"/>
    <n v="2808"/>
    <n v="2583.36"/>
    <n v="1935"/>
    <s v="Low Value"/>
    <s v="Smartphone"/>
    <s v="Electronics"/>
    <n v="97"/>
    <n v="6"/>
  </r>
  <r>
    <s v="Q3-025"/>
    <x v="80"/>
    <x v="2"/>
    <n v="1006"/>
    <x v="2"/>
    <n v="5"/>
    <n v="757"/>
    <x v="1"/>
    <n v="463"/>
    <n v="0.23"/>
    <n v="3785"/>
    <n v="2914.4500000000003"/>
    <n v="1470"/>
    <s v="Low Value"/>
    <s v="Monitor"/>
    <s v="Electronics"/>
    <n v="463"/>
    <n v="4"/>
  </r>
  <r>
    <s v="Q3-011"/>
    <x v="81"/>
    <x v="0"/>
    <n v="1002"/>
    <x v="0"/>
    <n v="2"/>
    <n v="1265"/>
    <x v="0"/>
    <n v="323"/>
    <n v="0.1"/>
    <n v="2530"/>
    <n v="2277"/>
    <n v="1884"/>
    <s v="Low Value"/>
    <s v="Headphones"/>
    <s v="Accessories"/>
    <n v="323"/>
    <n v="6"/>
  </r>
  <r>
    <s v="Q3-030"/>
    <x v="82"/>
    <x v="1"/>
    <n v="1003"/>
    <x v="2"/>
    <n v="3"/>
    <n v="651"/>
    <x v="1"/>
    <n v="463"/>
    <n v="0.23"/>
    <n v="1953"/>
    <n v="1503.81"/>
    <n v="564"/>
    <s v="Low Value"/>
    <s v="Monitor"/>
    <s v="Electronics"/>
    <n v="463"/>
    <n v="5"/>
  </r>
  <r>
    <s v="Q3-017"/>
    <x v="83"/>
    <x v="2"/>
    <n v="1017"/>
    <x v="3"/>
    <n v="2"/>
    <n v="300"/>
    <x v="2"/>
    <n v="136"/>
    <n v="0.1"/>
    <n v="600"/>
    <n v="540"/>
    <n v="328"/>
    <s v="Low Value"/>
    <s v="Printer"/>
    <s v="Office"/>
    <n v="136"/>
    <n v="8"/>
  </r>
  <r>
    <s v="Q3-018"/>
    <x v="84"/>
    <x v="1"/>
    <n v="1001"/>
    <x v="1"/>
    <n v="7"/>
    <n v="608"/>
    <x v="1"/>
    <n v="469"/>
    <n v="0.22"/>
    <n v="4256"/>
    <n v="3319.6800000000003"/>
    <n v="973"/>
    <s v="Low Value"/>
    <s v="Laptop"/>
    <s v="Electronics"/>
    <n v="469"/>
    <n v="4"/>
  </r>
  <r>
    <s v="Q3-009"/>
    <x v="85"/>
    <x v="2"/>
    <n v="1002"/>
    <x v="1"/>
    <n v="3"/>
    <n v="1133"/>
    <x v="1"/>
    <n v="469"/>
    <n v="0.22"/>
    <n v="3399"/>
    <n v="2651.2200000000003"/>
    <n v="1992"/>
    <s v="Low Value"/>
    <s v="Laptop"/>
    <s v="Electronics"/>
    <n v="469"/>
    <n v="1"/>
  </r>
  <r>
    <s v="Q3-013"/>
    <x v="86"/>
    <x v="3"/>
    <n v="1012"/>
    <x v="3"/>
    <n v="3"/>
    <n v="144"/>
    <x v="2"/>
    <n v="136"/>
    <n v="0.1"/>
    <n v="432"/>
    <n v="388.8"/>
    <n v="24"/>
    <s v="Low Value"/>
    <s v="Printer"/>
    <s v="Office"/>
    <n v="136"/>
    <n v="7"/>
  </r>
  <r>
    <s v="Q3-016"/>
    <x v="87"/>
    <x v="1"/>
    <n v="1017"/>
    <x v="1"/>
    <n v="5"/>
    <n v="1416"/>
    <x v="1"/>
    <n v="469"/>
    <n v="0.22"/>
    <n v="7080"/>
    <n v="5522.4000000000005"/>
    <n v="4735"/>
    <s v="Low Value"/>
    <s v="Laptop"/>
    <s v="Electronics"/>
    <n v="469"/>
    <n v="5"/>
  </r>
  <r>
    <s v="Q3-021"/>
    <x v="88"/>
    <x v="2"/>
    <n v="1019"/>
    <x v="5"/>
    <n v="1"/>
    <n v="1272"/>
    <x v="1"/>
    <n v="492"/>
    <n v="0.14000000000000001"/>
    <n v="1272"/>
    <n v="1093.92"/>
    <n v="780"/>
    <s v="Low Value"/>
    <s v="Tablet"/>
    <s v="Electronics"/>
    <n v="492"/>
    <n v="9"/>
  </r>
  <r>
    <s v="Q3-010"/>
    <x v="89"/>
    <x v="3"/>
    <n v="1018"/>
    <x v="2"/>
    <n v="5"/>
    <n v="644"/>
    <x v="1"/>
    <n v="463"/>
    <n v="0.23"/>
    <n v="3220"/>
    <n v="2479.4"/>
    <n v="905"/>
    <s v="Low Value"/>
    <s v="Monitor"/>
    <s v="Electronics"/>
    <n v="463"/>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726285-EE22-4C2D-8873-8EB71359EE82}" name="PivotTable12" cacheId="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oducts">
  <location ref="A3:B5" firstHeaderRow="1" firstDataRow="1" firstDataCol="1"/>
  <pivotFields count="21">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items count="5">
        <item x="3"/>
        <item x="0"/>
        <item x="2"/>
        <item h="1" x="1"/>
        <item t="default"/>
      </items>
    </pivotField>
    <pivotField showAll="0"/>
    <pivotField axis="axisRow" showAll="0" measureFilter="1">
      <items count="7">
        <item x="0"/>
        <item x="1"/>
        <item x="2"/>
        <item x="3"/>
        <item x="4"/>
        <item x="5"/>
        <item t="default"/>
      </items>
    </pivotField>
    <pivotField showAll="0"/>
    <pivotField showAll="0"/>
    <pivotField showAll="0">
      <items count="4">
        <item x="0"/>
        <item h="1" x="1"/>
        <item h="1" x="2"/>
        <item t="default"/>
      </items>
    </pivotField>
    <pivotField showAll="0"/>
    <pivotField numFmtId="9" showAll="0"/>
    <pivotField dataField="1" showAll="0"/>
    <pivotField showAll="0"/>
    <pivotField numFmtId="44"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4"/>
  </rowFields>
  <rowItems count="2">
    <i>
      <x/>
    </i>
    <i t="grand">
      <x/>
    </i>
  </rowItems>
  <colItems count="1">
    <i/>
  </colItems>
  <dataFields count="1">
    <dataField name="Sum of Revenue" fld="10" baseField="0" baseItem="0"/>
  </dataFields>
  <pivotTableStyleInfo name="PivotStyleLight16" showRowHeaders="1" showColHeaders="1" showRowStripes="0" showColStripes="0" showLastColumn="1"/>
  <filters count="2">
    <filter fld="1" type="dateBetween" evalOrder="-1" id="5" name="Date">
      <autoFilter ref="A1">
        <filterColumn colId="0">
          <customFilters and="1">
            <customFilter operator="greaterThanOrEqual" val="45870"/>
            <customFilter operator="lessThanOrEqual" val="45900"/>
          </customFilters>
        </filterColumn>
      </autoFilter>
      <extLst>
        <ext xmlns:x15="http://schemas.microsoft.com/office/spreadsheetml/2010/11/main" uri="{0605FD5F-26C8-4aeb-8148-2DB25E43C511}">
          <x15:pivotFilter useWholeDay="1"/>
        </ext>
      </extLst>
    </filter>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ACB28E-62F8-4BB0-A22D-591C2314F742}" name="PivotTable1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10" firstHeaderRow="0" firstDataRow="1" firstDataCol="1"/>
  <pivotFields count="21">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axis="axisRow" showAll="0">
      <items count="7">
        <item x="0"/>
        <item x="1"/>
        <item x="2"/>
        <item x="3"/>
        <item x="4"/>
        <item x="5"/>
        <item t="default"/>
      </items>
    </pivotField>
    <pivotField showAll="0"/>
    <pivotField showAll="0"/>
    <pivotField showAll="0"/>
    <pivotField showAll="0"/>
    <pivotField numFmtId="9" showAll="0"/>
    <pivotField dataField="1" showAll="0"/>
    <pivotField showAll="0"/>
    <pivotField dataField="1" numFmtId="44"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4"/>
  </rowFields>
  <rowItems count="7">
    <i>
      <x/>
    </i>
    <i>
      <x v="1"/>
    </i>
    <i>
      <x v="2"/>
    </i>
    <i>
      <x v="3"/>
    </i>
    <i>
      <x v="4"/>
    </i>
    <i>
      <x v="5"/>
    </i>
    <i t="grand">
      <x/>
    </i>
  </rowItems>
  <colFields count="1">
    <field x="-2"/>
  </colFields>
  <colItems count="3">
    <i>
      <x/>
    </i>
    <i i="1">
      <x v="1"/>
    </i>
    <i i="2">
      <x v="2"/>
    </i>
  </colItems>
  <dataFields count="3">
    <dataField name="Sum of Revenue" fld="10" baseField="0" baseItem="0"/>
    <dataField name="Sum of Profit" fld="12" baseField="0" baseItem="0" numFmtId="44"/>
    <dataField name="Sum of Profit Margin %" fld="20"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4A01FB-1211-470C-BFBA-D9CB3F8D29FF}" name="PivotTable6" cacheId="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121:M132" firstHeaderRow="1" firstDataRow="2" firstDataCol="1"/>
  <pivotFields count="21">
    <pivotField showAll="0"/>
    <pivotField axis="axisRow"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axis="axisCol" showAll="0">
      <items count="5">
        <item x="3"/>
        <item x="0"/>
        <item x="2"/>
        <item x="1"/>
        <item t="default"/>
      </items>
    </pivotField>
    <pivotField showAll="0"/>
    <pivotField showAll="0"/>
    <pivotField showAll="0"/>
    <pivotField showAll="0"/>
    <pivotField dataField="1" showAll="0">
      <items count="4">
        <item x="0"/>
        <item x="1"/>
        <item x="2"/>
        <item t="default"/>
      </items>
    </pivotField>
    <pivotField showAll="0"/>
    <pivotField numFmtId="9" showAll="0"/>
    <pivotField showAll="0"/>
    <pivotField showAll="0"/>
    <pivotField numFmtId="44"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s>
  <rowFields count="3">
    <field x="19"/>
    <field x="18"/>
    <field x="1"/>
  </rowFields>
  <rowItems count="10">
    <i>
      <x v="1"/>
    </i>
    <i>
      <x v="2"/>
    </i>
    <i>
      <x v="3"/>
    </i>
    <i>
      <x v="4"/>
    </i>
    <i>
      <x v="5"/>
    </i>
    <i>
      <x v="6"/>
    </i>
    <i>
      <x v="7"/>
    </i>
    <i>
      <x v="8"/>
    </i>
    <i>
      <x v="9"/>
    </i>
    <i t="grand">
      <x/>
    </i>
  </rowItems>
  <colFields count="1">
    <field x="2"/>
  </colFields>
  <colItems count="5">
    <i>
      <x/>
    </i>
    <i>
      <x v="1"/>
    </i>
    <i>
      <x v="2"/>
    </i>
    <i>
      <x v="3"/>
    </i>
    <i t="grand">
      <x/>
    </i>
  </colItems>
  <dataFields count="1">
    <dataField name="Count of Category"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1740E0-FF62-4C24-916E-E78D94603604}" name="PivotTable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1:F126" firstHeaderRow="1" firstDataRow="1" firstDataCol="1"/>
  <pivotFields count="21">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axis="axisRow" showAll="0">
      <items count="5">
        <item x="3"/>
        <item x="0"/>
        <item x="2"/>
        <item x="1"/>
        <item t="default"/>
      </items>
    </pivotField>
    <pivotField showAll="0"/>
    <pivotField showAll="0"/>
    <pivotField showAll="0"/>
    <pivotField showAll="0"/>
    <pivotField showAll="0">
      <items count="4">
        <item x="0"/>
        <item x="1"/>
        <item x="2"/>
        <item t="default"/>
      </items>
    </pivotField>
    <pivotField showAll="0"/>
    <pivotField numFmtId="9" showAll="0"/>
    <pivotField showAll="0"/>
    <pivotField showAll="0"/>
    <pivotField numFmtId="44" showAll="0"/>
    <pivotField showAll="0"/>
    <pivotField showAll="0"/>
    <pivotField showAll="0"/>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5">
    <i>
      <x/>
    </i>
    <i>
      <x v="1"/>
    </i>
    <i>
      <x v="2"/>
    </i>
    <i>
      <x v="3"/>
    </i>
    <i t="grand">
      <x/>
    </i>
  </rowItems>
  <colItems count="1">
    <i/>
  </colItems>
  <dataFields count="1">
    <dataField name="Sum of DeliveryDay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606986-210E-4F36-848D-B0024B2B2DE9}" name="PivotTable2"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1:C125" firstHeaderRow="1" firstDataRow="1" firstDataCol="1"/>
  <pivotFields count="21">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showAll="0"/>
    <pivotField showAll="0"/>
    <pivotField showAll="0"/>
    <pivotField showAll="0"/>
    <pivotField showAll="0"/>
    <pivotField axis="axisRow" showAll="0">
      <items count="4">
        <item x="0"/>
        <item x="1"/>
        <item x="2"/>
        <item t="default"/>
      </items>
    </pivotField>
    <pivotField showAll="0"/>
    <pivotField numFmtId="9" showAll="0"/>
    <pivotField showAll="0"/>
    <pivotField showAll="0"/>
    <pivotField dataField="1" numFmtId="44"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7"/>
  </rowFields>
  <rowItems count="4">
    <i>
      <x/>
    </i>
    <i>
      <x v="1"/>
    </i>
    <i>
      <x v="2"/>
    </i>
    <i t="grand">
      <x/>
    </i>
  </rowItems>
  <colItems count="1">
    <i/>
  </colItems>
  <dataFields count="1">
    <dataField name="Sum of Profit" fld="12" baseField="0" baseItem="0" numFmtId="44"/>
  </dataFields>
  <conditionalFormats count="1">
    <conditionalFormat type="all"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98EE3EE-0B86-4CD3-AA34-F0C8F49FB4DA}" name="PivotTable1"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B101:K104" firstHeaderRow="1" firstDataRow="3" firstDataCol="0"/>
  <pivotFields count="15">
    <pivotField showAll="0"/>
    <pivotField numFmtId="14" showAll="0"/>
    <pivotField axis="axisCol" showAll="0">
      <items count="5">
        <item x="3"/>
        <item x="0"/>
        <item x="2"/>
        <item x="1"/>
        <item t="default"/>
      </items>
    </pivotField>
    <pivotField showAll="0"/>
    <pivotField showAll="0"/>
    <pivotField showAll="0"/>
    <pivotField showAll="0"/>
    <pivotField showAll="0"/>
    <pivotField showAll="0"/>
    <pivotField numFmtId="9" showAll="0"/>
    <pivotField dataField="1" showAll="0">
      <items count="91">
        <item x="34"/>
        <item x="67"/>
        <item x="59"/>
        <item x="45"/>
        <item x="86"/>
        <item x="36"/>
        <item x="29"/>
        <item x="26"/>
        <item x="83"/>
        <item x="60"/>
        <item x="30"/>
        <item x="14"/>
        <item x="20"/>
        <item x="75"/>
        <item x="16"/>
        <item x="61"/>
        <item x="48"/>
        <item x="69"/>
        <item x="5"/>
        <item x="88"/>
        <item x="3"/>
        <item x="57"/>
        <item x="55"/>
        <item x="11"/>
        <item x="73"/>
        <item x="17"/>
        <item x="78"/>
        <item x="62"/>
        <item x="9"/>
        <item x="0"/>
        <item x="82"/>
        <item x="31"/>
        <item x="44"/>
        <item x="50"/>
        <item x="81"/>
        <item x="79"/>
        <item x="46"/>
        <item x="27"/>
        <item x="56"/>
        <item x="89"/>
        <item x="23"/>
        <item x="85"/>
        <item x="76"/>
        <item x="77"/>
        <item x="40"/>
        <item x="7"/>
        <item x="80"/>
        <item x="54"/>
        <item x="72"/>
        <item x="6"/>
        <item x="66"/>
        <item x="84"/>
        <item x="38"/>
        <item x="71"/>
        <item x="2"/>
        <item x="1"/>
        <item x="32"/>
        <item x="21"/>
        <item x="4"/>
        <item x="13"/>
        <item x="12"/>
        <item x="65"/>
        <item x="8"/>
        <item x="87"/>
        <item x="68"/>
        <item x="39"/>
        <item x="18"/>
        <item x="42"/>
        <item x="10"/>
        <item x="37"/>
        <item x="53"/>
        <item x="51"/>
        <item x="49"/>
        <item x="22"/>
        <item x="58"/>
        <item x="70"/>
        <item x="24"/>
        <item x="47"/>
        <item x="43"/>
        <item x="28"/>
        <item x="35"/>
        <item x="41"/>
        <item x="33"/>
        <item x="52"/>
        <item x="63"/>
        <item x="15"/>
        <item x="19"/>
        <item x="64"/>
        <item x="74"/>
        <item x="25"/>
        <item t="default"/>
      </items>
    </pivotField>
    <pivotField showAll="0"/>
    <pivotField dataField="1" numFmtId="44" showAll="0">
      <items count="90">
        <item x="16"/>
        <item x="14"/>
        <item x="13"/>
        <item x="12"/>
        <item x="10"/>
        <item x="26"/>
        <item x="7"/>
        <item x="3"/>
        <item x="5"/>
        <item x="0"/>
        <item x="9"/>
        <item x="6"/>
        <item x="4"/>
        <item x="2"/>
        <item x="1"/>
        <item x="25"/>
        <item x="19"/>
        <item x="68"/>
        <item x="59"/>
        <item x="72"/>
        <item x="58"/>
        <item x="17"/>
        <item x="66"/>
        <item x="29"/>
        <item x="34"/>
        <item x="85"/>
        <item x="74"/>
        <item x="36"/>
        <item x="45"/>
        <item x="82"/>
        <item x="77"/>
        <item x="61"/>
        <item x="30"/>
        <item x="81"/>
        <item x="60"/>
        <item x="20"/>
        <item x="87"/>
        <item x="88"/>
        <item x="56"/>
        <item x="83"/>
        <item x="54"/>
        <item x="48"/>
        <item x="76"/>
        <item x="11"/>
        <item x="44"/>
        <item x="40"/>
        <item x="31"/>
        <item x="79"/>
        <item x="80"/>
        <item x="78"/>
        <item x="71"/>
        <item x="84"/>
        <item x="50"/>
        <item x="21"/>
        <item x="55"/>
        <item x="46"/>
        <item x="27"/>
        <item x="75"/>
        <item x="23"/>
        <item x="8"/>
        <item x="65"/>
        <item x="70"/>
        <item x="53"/>
        <item x="39"/>
        <item x="38"/>
        <item x="32"/>
        <item x="18"/>
        <item x="86"/>
        <item x="22"/>
        <item x="67"/>
        <item x="69"/>
        <item x="64"/>
        <item x="51"/>
        <item x="57"/>
        <item x="49"/>
        <item x="42"/>
        <item x="37"/>
        <item x="47"/>
        <item x="35"/>
        <item x="43"/>
        <item x="24"/>
        <item x="41"/>
        <item x="33"/>
        <item x="28"/>
        <item x="62"/>
        <item x="15"/>
        <item x="52"/>
        <item x="63"/>
        <item x="73"/>
        <item t="default"/>
      </items>
    </pivotField>
    <pivotField showAll="0"/>
    <pivotField showAll="0"/>
  </pivotFields>
  <rowItems count="1">
    <i/>
  </rowItems>
  <colFields count="2">
    <field x="2"/>
    <field x="-2"/>
  </colFields>
  <colItems count="10">
    <i>
      <x/>
      <x/>
    </i>
    <i r="1" i="1">
      <x v="1"/>
    </i>
    <i>
      <x v="1"/>
      <x/>
    </i>
    <i r="1" i="1">
      <x v="1"/>
    </i>
    <i>
      <x v="2"/>
      <x/>
    </i>
    <i r="1" i="1">
      <x v="1"/>
    </i>
    <i>
      <x v="3"/>
      <x/>
    </i>
    <i r="1" i="1">
      <x v="1"/>
    </i>
    <i t="grand">
      <x/>
    </i>
    <i t="grand" i="1">
      <x/>
    </i>
  </colItems>
  <dataFields count="2">
    <dataField name="Sum of Revenue" fld="10" baseField="0" baseItem="0"/>
    <dataField name="Sum of Profit" fld="12"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3C4952-E765-488C-A594-6D198FE47D71}" name="PivotTable11" cacheId="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F9" firstHeaderRow="1" firstDataRow="2" firstDataCol="1"/>
  <pivotFields count="21">
    <pivotField showAll="0"/>
    <pivotField numFmtId="14" showAll="0">
      <items count="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t="default"/>
      </items>
    </pivotField>
    <pivotField axis="axisCol" showAll="0">
      <items count="5">
        <item x="3"/>
        <item x="0"/>
        <item x="2"/>
        <item x="1"/>
        <item t="default"/>
      </items>
    </pivotField>
    <pivotField showAll="0"/>
    <pivotField dataField="1" showAll="0">
      <items count="7">
        <item x="0"/>
        <item x="1"/>
        <item x="2"/>
        <item x="3"/>
        <item x="4"/>
        <item x="5"/>
        <item t="default"/>
      </items>
    </pivotField>
    <pivotField showAll="0"/>
    <pivotField showAll="0"/>
    <pivotField axis="axisRow" showAll="0">
      <items count="4">
        <item x="0"/>
        <item x="1"/>
        <item x="2"/>
        <item t="default"/>
      </items>
    </pivotField>
    <pivotField showAll="0"/>
    <pivotField numFmtId="9" showAll="0"/>
    <pivotField showAll="0"/>
    <pivotField showAll="0"/>
    <pivotField numFmtId="44" showAll="0"/>
    <pivotField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7"/>
  </rowFields>
  <rowItems count="4">
    <i>
      <x/>
    </i>
    <i>
      <x v="1"/>
    </i>
    <i>
      <x v="2"/>
    </i>
    <i t="grand">
      <x/>
    </i>
  </rowItems>
  <colFields count="1">
    <field x="2"/>
  </colFields>
  <colItems count="5">
    <i>
      <x/>
    </i>
    <i>
      <x v="1"/>
    </i>
    <i>
      <x v="2"/>
    </i>
    <i>
      <x v="3"/>
    </i>
    <i t="grand">
      <x/>
    </i>
  </colItems>
  <dataFields count="1">
    <dataField name="Count of Produc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78D488-67A7-4024-A81C-40B91B64DBE7}" autoFormatId="16" applyNumberFormats="0" applyBorderFormats="0" applyFontFormats="0" applyPatternFormats="0" applyAlignmentFormats="0" applyWidthHeightFormats="0">
  <queryTableRefresh nextId="16" unboundColumnsRight="8">
    <queryTableFields count="15">
      <queryTableField id="1" name="OrderID" tableColumnId="1"/>
      <queryTableField id="2" name="Date" tableColumnId="2"/>
      <queryTableField id="3" name="Region" tableColumnId="3"/>
      <queryTableField id="4" name="CustomerID" tableColumnId="4"/>
      <queryTableField id="5" name="Product" tableColumnId="5"/>
      <queryTableField id="6" name="Quantity" tableColumnId="6"/>
      <queryTableField id="7" name="UnitPrice" tableColumnId="7"/>
      <queryTableField id="8" dataBound="0" tableColumnId="8"/>
      <queryTableField id="9" dataBound="0" tableColumnId="9"/>
      <queryTableField id="10" dataBound="0" tableColumnId="10"/>
      <queryTableField id="11" dataBound="0" tableColumnId="11"/>
      <queryTableField id="12" dataBound="0" tableColumnId="12"/>
      <queryTableField id="13" dataBound="0" tableColumnId="13"/>
      <queryTableField id="14" dataBound="0" tableColumnId="14"/>
      <queryTableField id="15" dataBound="0"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FA6BDBB8-65FA-4A9A-A40D-FA74B644D3F1}" autoFormatId="16" applyNumberFormats="0" applyBorderFormats="0" applyFontFormats="0" applyPatternFormats="0" applyAlignmentFormats="0" applyWidthHeightFormats="0">
  <queryTableRefresh nextId="11" unboundColumnsRight="3">
    <queryTableFields count="9">
      <queryTableField id="1" name="CustomerID" tableColumnId="1"/>
      <queryTableField id="2" name="FirstName" tableColumnId="2"/>
      <queryTableField id="3" name="LastName" tableColumnId="3"/>
      <queryTableField id="4" name="Email" tableColumnId="4"/>
      <queryTableField id="5" name="Region" tableColumnId="5"/>
      <queryTableField id="6" name="Standardized" tableColumnId="6"/>
      <queryTableField id="7" dataBound="0" tableColumnId="7"/>
      <queryTableField id="8" dataBound="0" tableColumnId="8"/>
      <queryTableField id="9" dataBound="0"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5" xr16:uid="{DFE83F9A-BAAE-4F36-9223-E1DCC693A299}" autoFormatId="16" applyNumberFormats="0" applyBorderFormats="0" applyFontFormats="0" applyPatternFormats="0" applyAlignmentFormats="0" applyWidthHeightFormats="0">
  <queryTableRefresh nextId="6">
    <queryTableFields count="5">
      <queryTableField id="1" name="Product" tableColumnId="1"/>
      <queryTableField id="2" name="Category" tableColumnId="2"/>
      <queryTableField id="3" name="UnitPrice" tableColumnId="3"/>
      <queryTableField id="4" name="UnitCost" tableColumnId="4"/>
      <queryTableField id="5" name="Discount" tableColumnId="5"/>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DBC06B76-0F0E-4DCD-92B3-F22841360063}" autoFormatId="16" applyNumberFormats="0" applyBorderFormats="0" applyFontFormats="0" applyPatternFormats="0" applyAlignmentFormats="0" applyWidthHeightFormats="0">
  <queryTableRefresh nextId="5" unboundColumnsRight="1">
    <queryTableFields count="4">
      <queryTableField id="1" name="OrderID" tableColumnId="1"/>
      <queryTableField id="2" name="DeliveryDays" tableColumnId="2"/>
      <queryTableField id="3" name="ReturnRate" tableColumnId="3"/>
      <queryTableField id="4" dataBound="0"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3" xr16:uid="{4B2EA035-86CA-4D43-87EA-1EA29C2826DE}" autoFormatId="16" applyNumberFormats="0" applyBorderFormats="0" applyFontFormats="0" applyPatternFormats="0" applyAlignmentFormats="0" applyWidthHeightFormats="0">
  <queryTableRefresh nextId="6" unboundColumnsRight="1">
    <queryTableFields count="5">
      <queryTableField id="1" name="Month" tableColumnId="1"/>
      <queryTableField id="2" name="Overheads" tableColumnId="2"/>
      <queryTableField id="3" name="Salaries" tableColumnId="3"/>
      <queryTableField id="4" name="OtherExpenses" tableColumnId="4"/>
      <queryTableField id="5" dataBound="0"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7F79576-AA10-462D-9885-F46EE0CF0F76}" sourceName="Region">
  <pivotTables>
    <pivotTable tabId="8" name="PivotTable1"/>
  </pivotTables>
  <data>
    <tabular pivotCacheId="1214866206">
      <items count="4">
        <i x="3" s="1"/>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8BD6C2B1-AF67-422B-8CFF-B9645D7AD1B5}" sourceName="Revenue">
  <pivotTables>
    <pivotTable tabId="8" name="PivotTable1"/>
  </pivotTables>
  <data>
    <tabular pivotCacheId="1214866206">
      <items count="90">
        <i x="34" s="1"/>
        <i x="67" s="1"/>
        <i x="59" s="1"/>
        <i x="45" s="1"/>
        <i x="86" s="1"/>
        <i x="36" s="1"/>
        <i x="29" s="1"/>
        <i x="26" s="1"/>
        <i x="83" s="1"/>
        <i x="60" s="1"/>
        <i x="30" s="1"/>
        <i x="14" s="1"/>
        <i x="20" s="1"/>
        <i x="75" s="1"/>
        <i x="16" s="1"/>
        <i x="61" s="1"/>
        <i x="48" s="1"/>
        <i x="69" s="1"/>
        <i x="5" s="1"/>
        <i x="88" s="1"/>
        <i x="3" s="1"/>
        <i x="57" s="1"/>
        <i x="55" s="1"/>
        <i x="11" s="1"/>
        <i x="73" s="1"/>
        <i x="17" s="1"/>
        <i x="78" s="1"/>
        <i x="62" s="1"/>
        <i x="9" s="1"/>
        <i x="0" s="1"/>
        <i x="82" s="1"/>
        <i x="31" s="1"/>
        <i x="44" s="1"/>
        <i x="50" s="1"/>
        <i x="81" s="1"/>
        <i x="79" s="1"/>
        <i x="46" s="1"/>
        <i x="27" s="1"/>
        <i x="56" s="1"/>
        <i x="89" s="1"/>
        <i x="23" s="1"/>
        <i x="85" s="1"/>
        <i x="76" s="1"/>
        <i x="77" s="1"/>
        <i x="40" s="1"/>
        <i x="7" s="1"/>
        <i x="80" s="1"/>
        <i x="54" s="1"/>
        <i x="72" s="1"/>
        <i x="6" s="1"/>
        <i x="66" s="1"/>
        <i x="84" s="1"/>
        <i x="38" s="1"/>
        <i x="71" s="1"/>
        <i x="2" s="1"/>
        <i x="1" s="1"/>
        <i x="32" s="1"/>
        <i x="21" s="1"/>
        <i x="4" s="1"/>
        <i x="13" s="1"/>
        <i x="12" s="1"/>
        <i x="65" s="1"/>
        <i x="8" s="1"/>
        <i x="87" s="1"/>
        <i x="68" s="1"/>
        <i x="39" s="1"/>
        <i x="18" s="1"/>
        <i x="42" s="1"/>
        <i x="10" s="1"/>
        <i x="37" s="1"/>
        <i x="53" s="1"/>
        <i x="51" s="1"/>
        <i x="49" s="1"/>
        <i x="22" s="1"/>
        <i x="58" s="1"/>
        <i x="70" s="1"/>
        <i x="24" s="1"/>
        <i x="47" s="1"/>
        <i x="43" s="1"/>
        <i x="28" s="1"/>
        <i x="35" s="1"/>
        <i x="41" s="1"/>
        <i x="33" s="1"/>
        <i x="52" s="1"/>
        <i x="63" s="1"/>
        <i x="15" s="1"/>
        <i x="19" s="1"/>
        <i x="64" s="1"/>
        <i x="74" s="1"/>
        <i x="2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BBC4DD2C-06E5-4209-B92A-824CC453463E}" sourceName="Profit">
  <pivotTables>
    <pivotTable tabId="8" name="PivotTable1"/>
  </pivotTables>
  <data>
    <tabular pivotCacheId="1214866206">
      <items count="89">
        <i x="16" s="1"/>
        <i x="14" s="1"/>
        <i x="13" s="1"/>
        <i x="12" s="1"/>
        <i x="10" s="1"/>
        <i x="26" s="1"/>
        <i x="7" s="1"/>
        <i x="3" s="1"/>
        <i x="5" s="1"/>
        <i x="0" s="1"/>
        <i x="9" s="1"/>
        <i x="6" s="1"/>
        <i x="4" s="1"/>
        <i x="2" s="1"/>
        <i x="1" s="1"/>
        <i x="25" s="1"/>
        <i x="19" s="1"/>
        <i x="68" s="1"/>
        <i x="59" s="1"/>
        <i x="72" s="1"/>
        <i x="58" s="1"/>
        <i x="17" s="1"/>
        <i x="66" s="1"/>
        <i x="29" s="1"/>
        <i x="34" s="1"/>
        <i x="85" s="1"/>
        <i x="74" s="1"/>
        <i x="36" s="1"/>
        <i x="45" s="1"/>
        <i x="82" s="1"/>
        <i x="77" s="1"/>
        <i x="61" s="1"/>
        <i x="30" s="1"/>
        <i x="81" s="1"/>
        <i x="60" s="1"/>
        <i x="20" s="1"/>
        <i x="87" s="1"/>
        <i x="88" s="1"/>
        <i x="56" s="1"/>
        <i x="83" s="1"/>
        <i x="54" s="1"/>
        <i x="48" s="1"/>
        <i x="76" s="1"/>
        <i x="11" s="1"/>
        <i x="44" s="1"/>
        <i x="40" s="1"/>
        <i x="31" s="1"/>
        <i x="79" s="1"/>
        <i x="80" s="1"/>
        <i x="78" s="1"/>
        <i x="71" s="1"/>
        <i x="84" s="1"/>
        <i x="50" s="1"/>
        <i x="21" s="1"/>
        <i x="55" s="1"/>
        <i x="46" s="1"/>
        <i x="27" s="1"/>
        <i x="75" s="1"/>
        <i x="23" s="1"/>
        <i x="8" s="1"/>
        <i x="65" s="1"/>
        <i x="70" s="1"/>
        <i x="53" s="1"/>
        <i x="39" s="1"/>
        <i x="38" s="1"/>
        <i x="32" s="1"/>
        <i x="18" s="1"/>
        <i x="86" s="1"/>
        <i x="22" s="1"/>
        <i x="67" s="1"/>
        <i x="69" s="1"/>
        <i x="64" s="1"/>
        <i x="51" s="1"/>
        <i x="57" s="1"/>
        <i x="49" s="1"/>
        <i x="42" s="1"/>
        <i x="37" s="1"/>
        <i x="47" s="1"/>
        <i x="35" s="1"/>
        <i x="43" s="1"/>
        <i x="24" s="1"/>
        <i x="41" s="1"/>
        <i x="33" s="1"/>
        <i x="28" s="1"/>
        <i x="62" s="1"/>
        <i x="15" s="1"/>
        <i x="52" s="1"/>
        <i x="63" s="1"/>
        <i x="7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F5A4AC6A-CE77-46A4-8CB7-635A7A38BC15}" sourceName="Region">
  <pivotTables>
    <pivotTable tabId="14" name="PivotTable11"/>
  </pivotTables>
  <data>
    <tabular pivotCacheId="991672918">
      <items count="4">
        <i x="3" s="1"/>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3C5F63E-A5BE-4467-8CFB-A032C88E7B7D}" sourceName="Product">
  <pivotTables>
    <pivotTable tabId="14" name="PivotTable11"/>
  </pivotTables>
  <data>
    <tabular pivotCacheId="991672918">
      <items count="6">
        <i x="0" s="1"/>
        <i x="1" s="1"/>
        <i x="2" s="1"/>
        <i x="3" s="1"/>
        <i x="4" s="1"/>
        <i x="5"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BC77122-8A78-4D96-806B-CAFDE3CF47E0}" sourceName="Category">
  <pivotTables>
    <pivotTable tabId="14" name="PivotTable11"/>
    <pivotTable tabId="8" name="PivotTable2"/>
    <pivotTable tabId="8" name="PivotTable5"/>
    <pivotTable tabId="8" name="PivotTable6"/>
  </pivotTables>
  <data>
    <tabular pivotCacheId="991672918">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C65088F3-4579-47A2-B284-8F04F763F778}" sourceName="Region">
  <pivotTables>
    <pivotTable tabId="15" name="PivotTable12"/>
  </pivotTables>
  <data>
    <tabular pivotCacheId="991672918">
      <items count="4">
        <i x="3" s="1"/>
        <i x="0" s="1"/>
        <i x="2" s="1"/>
        <i x="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73455ED-CB4B-4B9B-927F-A82012AB6F00}" sourceName="Category">
  <pivotTables>
    <pivotTable tabId="15" name="PivotTable12"/>
  </pivotTables>
  <data>
    <tabular pivotCacheId="991672918">
      <items count="3">
        <i x="0"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DA25AC8-7E78-44E6-B317-0166F42C6129}" cache="Slicer_Region2" caption="Region" rowHeight="234950"/>
  <slicer name="Category 1" xr10:uid="{4DA3F293-FCE6-42E1-8A71-1B0A3EEDB541}" cache="Slicer_Category1"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52D253D-13CF-402C-970B-0364F9D6F6AD}" cache="Slicer_Region" caption="Region" rowHeight="234950"/>
  <slicer name="Revenue" xr10:uid="{79CDE1B4-46FE-4B9F-8FC3-2F7DA7B9235F}" cache="Slicer_Revenue" caption="Revenue" rowHeight="234950"/>
  <slicer name="Profit" xr10:uid="{E7FB461E-9F2B-4D35-91B6-5200EE09F748}" cache="Slicer_Profit" caption="Profit"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cer_Region1" xr10:uid="{CAB253C8-2DDD-46B0-B9BB-BEDA23A1C7C4}" cache="Slicer_Region1" caption="Region" rowHeight="234950"/>
  <slicer name="Product" xr10:uid="{49A43090-CED6-4022-AC6C-002CAF7EB481}" cache="Slicer_Product" caption="Product" rowHeight="234950"/>
  <slicer name="Category" xr10:uid="{0C7E4355-3223-4C10-B3FD-8CCAF0784B2F}"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70EF2C-CF77-4517-86BC-B94CBA1EDC04}" name="Append1" displayName="Append1" ref="A1:O91" tableType="queryTable" totalsRowShown="0">
  <sortState xmlns:xlrd2="http://schemas.microsoft.com/office/spreadsheetml/2017/richdata2" ref="A2:M91">
    <sortCondition ref="B1:B91"/>
  </sortState>
  <tableColumns count="15">
    <tableColumn id="1" xr3:uid="{BB6F7887-28D9-43DC-88A5-E5B735AE8768}" uniqueName="1" name="OrderID" queryTableFieldId="1" dataDxfId="5"/>
    <tableColumn id="2" xr3:uid="{0CB729A9-E2C8-4C5C-8BB5-62662775C357}" uniqueName="2" name="Date" queryTableFieldId="2" dataDxfId="4"/>
    <tableColumn id="3" xr3:uid="{BD6CD048-7625-48E7-8EBE-143512D46FE5}" uniqueName="3" name="Region" queryTableFieldId="3" dataDxfId="3"/>
    <tableColumn id="4" xr3:uid="{FC913F9F-E0F1-495D-90BC-011ADFE4A1D6}" uniqueName="4" name="CustomerID" queryTableFieldId="4"/>
    <tableColumn id="5" xr3:uid="{3564E951-FDD1-46A3-8A4D-3816169BE079}" uniqueName="5" name="Product" queryTableFieldId="5" dataDxfId="2"/>
    <tableColumn id="6" xr3:uid="{5E74A3F1-3116-411B-B090-B334DACFF511}" uniqueName="6" name="Quantity" queryTableFieldId="6"/>
    <tableColumn id="7" xr3:uid="{91075B3C-CF7C-4915-9759-0E9E36BE3A2B}" uniqueName="7" name="UnitPrice" queryTableFieldId="7"/>
    <tableColumn id="8" xr3:uid="{5A89E8B3-B155-4247-97D8-4E34BA2D0481}" uniqueName="8" name="Category" queryTableFieldId="8">
      <calculatedColumnFormula>_xlfn.XLOOKUP(E2, Products!A:A, Products!B:B, "Not Found")</calculatedColumnFormula>
    </tableColumn>
    <tableColumn id="9" xr3:uid="{A6AE8902-4058-4442-82CF-126968D64465}" uniqueName="9" name="UnitCost" queryTableFieldId="9">
      <calculatedColumnFormula>_xlfn.XLOOKUP(E2, Products!A:A, Products!D:D, 0)</calculatedColumnFormula>
    </tableColumn>
    <tableColumn id="10" xr3:uid="{421AAC35-E45D-4940-A765-E42B9FC016C1}" uniqueName="10" name="Discount" queryTableFieldId="10" dataCellStyle="Percent">
      <calculatedColumnFormula>_xlfn.XLOOKUP(E2, Products!A:A, Products!E:E, 0)</calculatedColumnFormula>
    </tableColumn>
    <tableColumn id="11" xr3:uid="{1CBAE8B3-0BB6-4144-A0D7-A32F8F9C70E2}" uniqueName="11" name="Revenue" queryTableFieldId="11">
      <calculatedColumnFormula>SUM(F2*G2)</calculatedColumnFormula>
    </tableColumn>
    <tableColumn id="12" xr3:uid="{B5DD21A9-4761-4C06-86DC-5EB2846A4D5D}" uniqueName="12" name="Discounted Revenue" queryTableFieldId="12">
      <calculatedColumnFormula>SUM(K2*(1-J2))</calculatedColumnFormula>
    </tableColumn>
    <tableColumn id="13" xr3:uid="{C025CC57-92BE-4DE6-AA06-46E29F76217C}" uniqueName="13" name="Profit" queryTableFieldId="13">
      <calculatedColumnFormula>SUM(K2- (Append1[[#This Row],[Quantity]]*Append1[[#This Row],[UnitCost]]) - Finance!B3)</calculatedColumnFormula>
    </tableColumn>
    <tableColumn id="14" xr3:uid="{5B828416-8114-4819-88B8-A52CF7AA5C4F}" uniqueName="14" name="Nested IFs" queryTableFieldId="14">
      <calculatedColumnFormula>IF(K2&gt;50000, "VIP", IF(K2&gt;=20000, "Regular", "Low Value"))</calculatedColumnFormula>
    </tableColumn>
    <tableColumn id="15" xr3:uid="{F0AE2958-005E-4736-8456-7D3048A38443}" uniqueName="15" name="Match &amp; Index" queryTableFieldId="15">
      <calculatedColumnFormula>INDEX(E2:E91, MATCH(H2, H2:H91, 0))</calculatedColumnFormula>
    </tableColumn>
  </tableColumns>
  <tableStyleInfo name="TableStyleLight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9EF7579-8839-4EF5-A542-DFB8C9FC1461}" name="Table11" displayName="Table11" ref="R1:R91" totalsRowShown="0">
  <autoFilter ref="R1:R91" xr:uid="{79EF7579-8839-4EF5-A542-DFB8C9FC1461}"/>
  <tableColumns count="1">
    <tableColumn id="1" xr3:uid="{F68DC9A1-DC38-4A62-9EF2-EAEB0D66E1E9}" name="DeliveryDays">
      <calculatedColumnFormula>_xlfn.XLOOKUP(A2, Operations!A:A, Operations!B:B, "")</calculatedColumnFormula>
    </tableColumn>
  </tableColumns>
  <tableStyleInfo name="TableStyleLight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BFC7DA6A-DFA5-4234-B8FC-8169AF05D486}" name="Table12" displayName="Table12" ref="A1:C2" totalsRowShown="0">
  <autoFilter ref="A1:C2" xr:uid="{BFC7DA6A-DFA5-4234-B8FC-8169AF05D486}"/>
  <tableColumns count="3">
    <tableColumn id="1" xr3:uid="{4F458DF9-BEC9-4024-91C3-6C0C0558EA59}" name="TotalRevenue" dataCellStyle="Currency">
      <calculatedColumnFormula>SUM(Append1[Discounted Revenue])</calculatedColumnFormula>
    </tableColumn>
    <tableColumn id="2" xr3:uid="{D2480F68-5694-4E67-9F37-8EACD6544BA4}" name="TotalProfit">
      <calculatedColumnFormula>SUM(Append1[Profit])</calculatedColumnFormula>
    </tableColumn>
    <tableColumn id="3" xr3:uid="{A00F6759-5DB7-4B37-9DB3-BFC7454FDF0D}" name="TopCustomer">
      <calculatedColumnFormula>INDEX(Sales_All!D2:D91, MATCH(MAX(Sales_All!L2:L91), Sales_All!L2:L91, 0))</calculatedColumnFormula>
    </tableColumn>
  </tableColumns>
  <tableStyleInfo name="TableStyleLight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153F0F1-1692-4BED-A231-E1A66EEBF421}" name="Customers" displayName="Customers" ref="A1:I29" tableType="queryTable" totalsRowShown="0">
  <autoFilter ref="A1:I29" xr:uid="{C153F0F1-1692-4BED-A231-E1A66EEBF421}"/>
  <tableColumns count="9">
    <tableColumn id="1" xr3:uid="{B0324609-0B0A-4F49-A490-4F722E3B14EE}" uniqueName="1" name="CustomerID" queryTableFieldId="1" totalsRowDxfId="16"/>
    <tableColumn id="2" xr3:uid="{441623B4-26B1-42EC-952B-55FED1E5EC81}" uniqueName="2" name="FirstName" queryTableFieldId="2" dataDxfId="24" totalsRowDxfId="15"/>
    <tableColumn id="3" xr3:uid="{0538D39E-AB28-447F-B7CF-C1744383AEB9}" uniqueName="3" name="LastName" queryTableFieldId="3" dataDxfId="23" totalsRowDxfId="14"/>
    <tableColumn id="4" xr3:uid="{62DF858E-B19D-40F3-AB74-4A615C68C50B}" uniqueName="4" name="Email" queryTableFieldId="4" dataDxfId="22" totalsRowDxfId="13"/>
    <tableColumn id="5" xr3:uid="{83A6C8DB-2886-4148-B903-659709B060D8}" uniqueName="5" name="Region" queryTableFieldId="5" dataDxfId="21" totalsRowDxfId="12"/>
    <tableColumn id="6" xr3:uid="{27014FDF-60DE-47EC-83E2-104A4991E2D3}" uniqueName="6" name="Standardized" queryTableFieldId="6" dataDxfId="20" totalsRowDxfId="11"/>
    <tableColumn id="7" xr3:uid="{2A09B0CF-C4B5-445A-9418-E657F9AC27A6}" uniqueName="7" name="Extracted First Name" queryTableFieldId="7" dataDxfId="19" totalsRowDxfId="10"/>
    <tableColumn id="8" xr3:uid="{7F812B06-CE06-4C5B-AD9F-4E6819993095}" uniqueName="8" name="Extracted Last Name" queryTableFieldId="8" dataDxfId="18" totalsRowDxfId="9"/>
    <tableColumn id="9" xr3:uid="{1C7C6EAB-487E-45E9-B815-569BA7B69DD9}" uniqueName="9" name="Extracted Email" queryTableFieldId="9" dataDxfId="17" totalsRowDxfId="8"/>
  </tableColumns>
  <tableStyleInfo name="TableStyleLight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582DB35-DA88-4C21-A54F-449367F0067F}" name="Products" displayName="Products" ref="A1:E7" tableType="queryTable" totalsRowShown="0">
  <autoFilter ref="A1:E7" xr:uid="{1582DB35-DA88-4C21-A54F-449367F0067F}"/>
  <tableColumns count="5">
    <tableColumn id="1" xr3:uid="{66BBC465-C963-451E-859D-7A720FDEB712}" uniqueName="1" name="Product" queryTableFieldId="1" dataDxfId="7"/>
    <tableColumn id="2" xr3:uid="{B53F94D1-F9FF-4616-9F60-F1731FA0612B}" uniqueName="2" name="Category" queryTableFieldId="2" dataDxfId="6"/>
    <tableColumn id="3" xr3:uid="{FFCC0F05-CAFB-441A-A43D-F530BA345BC8}" uniqueName="3" name="UnitPrice" queryTableFieldId="3"/>
    <tableColumn id="4" xr3:uid="{491586EB-CA31-4E37-98F9-141715B4BDC7}" uniqueName="4" name="UnitCost" queryTableFieldId="4"/>
    <tableColumn id="5" xr3:uid="{37B13282-EB01-4CBF-9D3C-99A389AE23B3}" uniqueName="5" name="Discount" queryTableFieldId="5"/>
  </tableColumns>
  <tableStyleInfo name="TableStyleLight2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A1061FC-9E0C-4AB7-9C39-D648BC20BD7F}" name="Operations" displayName="Operations" ref="A1:D91" tableType="queryTable" totalsRowShown="0">
  <autoFilter ref="A1:D91" xr:uid="{8A1061FC-9E0C-4AB7-9C39-D648BC20BD7F}"/>
  <tableColumns count="4">
    <tableColumn id="1" xr3:uid="{676B427B-36AE-482D-8563-2FCE5A5CCC2F}" uniqueName="1" name="OrderID" queryTableFieldId="1" dataDxfId="25"/>
    <tableColumn id="2" xr3:uid="{6CCC8507-3662-4381-BEA4-48DB3A10C170}" uniqueName="2" name="DeliveryDays" queryTableFieldId="2"/>
    <tableColumn id="3" xr3:uid="{0925BFD5-6F77-4ACF-848F-D75D62F514DB}" uniqueName="3" name="ReturnRate" queryTableFieldId="3"/>
    <tableColumn id="4" xr3:uid="{0DB94B72-8BFB-44BD-AAC1-9B03DF0B213A}" uniqueName="4" name="Operational Efficiency" queryTableFieldId="4">
      <calculatedColumnFormula>IF(AND(B2&lt;=3,C2&lt;=0.05),"Efficient", "Needs Attention")</calculatedColumnFormula>
    </tableColumn>
  </tableColumns>
  <tableStyleInfo name="TableStyleLight20"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E646C9F-DD0D-432E-ABEE-60865A7D07D8}" name="Finance" displayName="Finance" ref="A1:E10" tableType="queryTable" totalsRowShown="0">
  <autoFilter ref="A1:E10" xr:uid="{AE646C9F-DD0D-432E-ABEE-60865A7D07D8}"/>
  <tableColumns count="5">
    <tableColumn id="1" xr3:uid="{FE22A241-D078-479F-8663-1A4A1A42D12A}" uniqueName="1" name="Month" queryTableFieldId="1" dataDxfId="27"/>
    <tableColumn id="2" xr3:uid="{6AA45AF7-9E35-4AC3-B22B-CC09AA8C72E7}" uniqueName="2" name="Overheads" queryTableFieldId="2" dataCellStyle="Currency"/>
    <tableColumn id="3" xr3:uid="{B12135EA-BB2B-4FC0-A1BB-C51F621DF90A}" uniqueName="3" name="Salaries" queryTableFieldId="3" dataCellStyle="Currency"/>
    <tableColumn id="4" xr3:uid="{290B93E8-A4FA-471E-9F78-53A899DB7614}" uniqueName="4" name="OtherExpenses" queryTableFieldId="4" dataCellStyle="Currency"/>
    <tableColumn id="5" xr3:uid="{3A2BB39F-0B06-4E7D-900C-9CCBB207F6ED}" uniqueName="5" name="NetProfit" queryTableFieldId="5" dataDxfId="26">
      <calculatedColumnFormula>SUM(B2:C2)</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5C725F2-F967-4968-B18C-8BC3D873B403}" sourceName="Date">
  <pivotTables>
    <pivotTable tabId="14" name="PivotTable11"/>
  </pivotTables>
  <state minimalRefreshVersion="6" lastRefreshVersion="6" pivotCacheId="991672918" filterType="unknown">
    <bounds startDate="2025-01-01T04:18:37" endDate="2026-01-01T13:57:3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3CD0FC90-FDA1-4A00-B89F-B70D815BADFA}" sourceName="Date">
  <pivotTables>
    <pivotTable tabId="8" name="PivotTable6"/>
  </pivotTables>
  <state minimalRefreshVersion="6" lastRefreshVersion="6" pivotCacheId="991672918" filterType="unknown">
    <bounds startDate="2025-01-01T04:18:37" endDate="2026-01-01T13:57:3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2" xr10:uid="{1E8A94FD-435D-4221-916F-E40DF668708B}" sourceName="Date">
  <pivotTables>
    <pivotTable tabId="15" name="PivotTable12"/>
  </pivotTables>
  <state minimalRefreshVersion="6" lastRefreshVersion="6" pivotCacheId="991672918" filterType="dateBetween">
    <selection startDate="2025-08-01T00:00:00" endDate="2025-08-31T00:00:00"/>
    <bounds startDate="2025-01-01T04:18:37" endDate="2026-01-01T13:57:3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B1BC94B2-62A8-48D6-B1CC-2B416B608D58}" cache="NativeTimeline_Date2" caption="Date" level="2" selectionLevel="2" scrollPosition="2025-06-06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CD617F44-6716-481D-AF9B-5B7AD2EBFAA4}" cache="NativeTimeline_Date1" caption="Date" level="2" selectionLevel="2" scrollPosition="2025-06-06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FD943DF-F6E5-47AB-AA25-557B6142AA15}" cache="NativeTimeline_Date" caption="Date" level="2" selectionLevel="2"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5.xml"/><Relationship Id="rId7" Type="http://schemas.openxmlformats.org/officeDocument/2006/relationships/table" Target="../tables/table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1.xml"/><Relationship Id="rId5" Type="http://schemas.openxmlformats.org/officeDocument/2006/relationships/drawing" Target="../drawings/drawing2.xml"/><Relationship Id="rId4" Type="http://schemas.openxmlformats.org/officeDocument/2006/relationships/pivotTable" Target="../pivotTables/pivotTable6.xml"/><Relationship Id="rId9" Type="http://schemas.microsoft.com/office/2011/relationships/timeline" Target="../timelines/timelin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7.xml"/><Relationship Id="rId6" Type="http://schemas.microsoft.com/office/2011/relationships/timeline" Target="../timelines/timeline3.xml"/><Relationship Id="rId5" Type="http://schemas.microsoft.com/office/2007/relationships/slicer" Target="../slicers/slicer3.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CC214-DB89-430B-AB52-0E4BB7F0BDC3}">
  <dimension ref="A3:B5"/>
  <sheetViews>
    <sheetView workbookViewId="0">
      <selection activeCell="A13" sqref="A13"/>
    </sheetView>
  </sheetViews>
  <sheetFormatPr defaultRowHeight="14.4" x14ac:dyDescent="0.3"/>
  <cols>
    <col min="1" max="1" width="11.109375" bestFit="1" customWidth="1"/>
    <col min="2" max="2" width="14.88671875" bestFit="1" customWidth="1"/>
  </cols>
  <sheetData>
    <row r="3" spans="1:2" x14ac:dyDescent="0.3">
      <c r="A3" s="15" t="s">
        <v>225</v>
      </c>
      <c r="B3" t="s">
        <v>203</v>
      </c>
    </row>
    <row r="4" spans="1:2" x14ac:dyDescent="0.3">
      <c r="A4" s="11" t="s">
        <v>42</v>
      </c>
      <c r="B4" s="3">
        <v>22160</v>
      </c>
    </row>
    <row r="5" spans="1:2" x14ac:dyDescent="0.3">
      <c r="A5" s="11" t="s">
        <v>206</v>
      </c>
      <c r="B5" s="3">
        <v>22160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5FD8C-940D-4049-B63C-B57464C918F9}">
  <dimension ref="A3:D10"/>
  <sheetViews>
    <sheetView workbookViewId="0">
      <selection activeCell="D10" sqref="D10"/>
    </sheetView>
  </sheetViews>
  <sheetFormatPr defaultRowHeight="14.4" x14ac:dyDescent="0.3"/>
  <cols>
    <col min="1" max="1" width="12.5546875" bestFit="1" customWidth="1"/>
    <col min="2" max="2" width="14.88671875" bestFit="1" customWidth="1"/>
    <col min="3" max="3" width="12.44140625" bestFit="1" customWidth="1"/>
    <col min="4" max="4" width="20.6640625" bestFit="1" customWidth="1"/>
  </cols>
  <sheetData>
    <row r="3" spans="1:4" x14ac:dyDescent="0.3">
      <c r="A3" s="15" t="s">
        <v>205</v>
      </c>
      <c r="B3" t="s">
        <v>203</v>
      </c>
      <c r="C3" t="s">
        <v>204</v>
      </c>
      <c r="D3" t="s">
        <v>227</v>
      </c>
    </row>
    <row r="4" spans="1:4" x14ac:dyDescent="0.3">
      <c r="A4" s="11" t="s">
        <v>42</v>
      </c>
      <c r="B4" s="3">
        <v>92783</v>
      </c>
      <c r="C4" s="9">
        <v>-1694</v>
      </c>
      <c r="D4" s="16">
        <v>-1.8257654958343663E-2</v>
      </c>
    </row>
    <row r="5" spans="1:4" x14ac:dyDescent="0.3">
      <c r="A5" s="11" t="s">
        <v>45</v>
      </c>
      <c r="B5" s="3">
        <v>100036</v>
      </c>
      <c r="C5" s="9">
        <v>-70910</v>
      </c>
      <c r="D5" s="16">
        <v>-0.70884481586628811</v>
      </c>
    </row>
    <row r="6" spans="1:4" x14ac:dyDescent="0.3">
      <c r="A6" s="11" t="s">
        <v>43</v>
      </c>
      <c r="B6" s="3">
        <v>100690</v>
      </c>
      <c r="C6" s="9">
        <v>-25944</v>
      </c>
      <c r="D6" s="16">
        <v>-0.2576621312940709</v>
      </c>
    </row>
    <row r="7" spans="1:4" x14ac:dyDescent="0.3">
      <c r="A7" s="11" t="s">
        <v>46</v>
      </c>
      <c r="B7" s="3">
        <v>49991</v>
      </c>
      <c r="C7" s="9">
        <v>-25089</v>
      </c>
      <c r="D7" s="16">
        <v>-0.50187033666059888</v>
      </c>
    </row>
    <row r="8" spans="1:4" x14ac:dyDescent="0.3">
      <c r="A8" s="11" t="s">
        <v>44</v>
      </c>
      <c r="B8" s="3">
        <v>37743</v>
      </c>
      <c r="C8" s="9">
        <v>-36649</v>
      </c>
      <c r="D8" s="16">
        <v>-0.97101449275362317</v>
      </c>
    </row>
    <row r="9" spans="1:4" x14ac:dyDescent="0.3">
      <c r="A9" s="11" t="s">
        <v>41</v>
      </c>
      <c r="B9" s="3">
        <v>60019</v>
      </c>
      <c r="C9" s="9">
        <v>-80448</v>
      </c>
      <c r="D9" s="16">
        <v>-1.3403755477432147</v>
      </c>
    </row>
    <row r="10" spans="1:4" x14ac:dyDescent="0.3">
      <c r="A10" s="11" t="s">
        <v>206</v>
      </c>
      <c r="B10" s="3">
        <v>441262</v>
      </c>
      <c r="C10" s="9">
        <v>-240734</v>
      </c>
      <c r="D10" s="16">
        <v>-0.54555796782863697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44A6-E9EC-4C7B-BE76-E2B0F9DD4FC2}">
  <dimension ref="A1:R282"/>
  <sheetViews>
    <sheetView topLeftCell="C1" zoomScale="87" workbookViewId="0">
      <selection activeCell="C1" sqref="C1"/>
    </sheetView>
  </sheetViews>
  <sheetFormatPr defaultRowHeight="14.4" x14ac:dyDescent="0.3"/>
  <cols>
    <col min="1" max="1" width="9.77734375" bestFit="1" customWidth="1"/>
    <col min="2" max="2" width="13.109375" style="5" bestFit="1" customWidth="1"/>
    <col min="3" max="3" width="12.44140625" bestFit="1" customWidth="1"/>
    <col min="4" max="4" width="16.33203125" customWidth="1"/>
    <col min="5" max="5" width="13.109375" bestFit="1" customWidth="1"/>
    <col min="6" max="6" width="19" bestFit="1" customWidth="1"/>
    <col min="7" max="7" width="11.21875" bestFit="1" customWidth="1"/>
    <col min="8" max="8" width="16.88671875" bestFit="1" customWidth="1"/>
    <col min="9" max="9" width="16.109375" bestFit="1" customWidth="1"/>
    <col min="10" max="10" width="16.21875" style="6" customWidth="1"/>
    <col min="11" max="11" width="6.109375" customWidth="1"/>
    <col min="12" max="12" width="12.109375" customWidth="1"/>
    <col min="13" max="13" width="11.21875" bestFit="1" customWidth="1"/>
    <col min="14" max="17" width="11.44140625" bestFit="1" customWidth="1"/>
    <col min="18" max="18" width="13.5546875" bestFit="1" customWidth="1"/>
    <col min="19" max="23" width="10.44140625" bestFit="1" customWidth="1"/>
    <col min="24" max="25" width="9" bestFit="1" customWidth="1"/>
    <col min="26" max="29" width="8" bestFit="1" customWidth="1"/>
    <col min="30" max="43" width="9" bestFit="1" customWidth="1"/>
    <col min="44" max="87" width="10.44140625" bestFit="1" customWidth="1"/>
    <col min="88" max="91" width="11.44140625" bestFit="1" customWidth="1"/>
    <col min="92" max="92" width="12.44140625" bestFit="1" customWidth="1"/>
  </cols>
  <sheetData>
    <row r="1" spans="1:18" x14ac:dyDescent="0.3">
      <c r="A1" t="s">
        <v>0</v>
      </c>
      <c r="B1" s="5" t="s">
        <v>1</v>
      </c>
      <c r="C1" t="s">
        <v>2</v>
      </c>
      <c r="D1" t="s">
        <v>3</v>
      </c>
      <c r="E1" t="s">
        <v>4</v>
      </c>
      <c r="F1" t="s">
        <v>5</v>
      </c>
      <c r="G1" t="s">
        <v>6</v>
      </c>
      <c r="H1" t="s">
        <v>107</v>
      </c>
      <c r="I1" t="s">
        <v>108</v>
      </c>
      <c r="J1" s="6" t="s">
        <v>109</v>
      </c>
      <c r="K1" t="s">
        <v>190</v>
      </c>
      <c r="L1" t="s">
        <v>191</v>
      </c>
      <c r="M1" t="s">
        <v>192</v>
      </c>
      <c r="N1" t="s">
        <v>196</v>
      </c>
      <c r="O1" t="s">
        <v>197</v>
      </c>
      <c r="P1" s="13" t="s">
        <v>199</v>
      </c>
      <c r="Q1" s="11"/>
      <c r="R1" t="s">
        <v>118</v>
      </c>
    </row>
    <row r="2" spans="1:18" x14ac:dyDescent="0.3">
      <c r="A2" s="3" t="s">
        <v>32</v>
      </c>
      <c r="B2" s="5">
        <v>45660.179594907408</v>
      </c>
      <c r="C2" s="3" t="s">
        <v>40</v>
      </c>
      <c r="D2">
        <v>1009</v>
      </c>
      <c r="E2" s="3" t="s">
        <v>42</v>
      </c>
      <c r="F2">
        <v>1</v>
      </c>
      <c r="G2">
        <v>1841</v>
      </c>
      <c r="H2" t="str">
        <f>_xlfn.XLOOKUP(E2, Products!A:A, Products!B:B, "Not Found")</f>
        <v>Accessories</v>
      </c>
      <c r="I2">
        <f>_xlfn.XLOOKUP(E2, Products!A:A, Products!D:D, 0)</f>
        <v>323</v>
      </c>
      <c r="J2" s="6">
        <f>_xlfn.XLOOKUP(E2, Products!A:A, Products!E:E, 0)</f>
        <v>0.1</v>
      </c>
      <c r="K2">
        <f>SUM(F2*G2)</f>
        <v>1841</v>
      </c>
      <c r="L2">
        <f>SUM(K2*(1-J2))</f>
        <v>1656.9</v>
      </c>
      <c r="M2" s="9">
        <f>ABS(K2- (Append1[[#This Row],[Quantity]]*Append1[[#This Row],[UnitCost]]) - Finance!B2)</f>
        <v>24122</v>
      </c>
      <c r="N2" t="str">
        <f>IF(K2&gt;50000, "VIP", IF(K2&gt;=20000, "Regular", "Low Value"))</f>
        <v>Low Value</v>
      </c>
      <c r="O2" t="str">
        <f>INDEX(E2:E91, MATCH(H2, H2:H91, 0))</f>
        <v>Headphones</v>
      </c>
      <c r="P2" t="str" cm="1">
        <f t="array" aca="1" ref="P2:Q106" ca="1">OFFSET($H$2,0,0,COUNTA($H:$H)-1,2)</f>
        <v>Accessories</v>
      </c>
      <c r="Q2">
        <f ca="1"/>
        <v>323</v>
      </c>
      <c r="R2">
        <f>_xlfn.XLOOKUP(A2, Operations!A:A, Operations!B:B, "")</f>
        <v>3</v>
      </c>
    </row>
    <row r="3" spans="1:18" x14ac:dyDescent="0.3">
      <c r="A3" s="3" t="s">
        <v>29</v>
      </c>
      <c r="B3" s="5">
        <v>45662.648842592593</v>
      </c>
      <c r="C3" s="3" t="s">
        <v>38</v>
      </c>
      <c r="D3">
        <v>1006</v>
      </c>
      <c r="E3" s="3" t="s">
        <v>45</v>
      </c>
      <c r="F3">
        <v>3</v>
      </c>
      <c r="G3">
        <v>1752</v>
      </c>
      <c r="H3" t="str">
        <f>_xlfn.XLOOKUP(E3, Products!A:A, Products!B:B, "Not Found")</f>
        <v>Electronics</v>
      </c>
      <c r="I3">
        <f>_xlfn.XLOOKUP(E3, Products!A:A, Products!D:D, 0)</f>
        <v>469</v>
      </c>
      <c r="J3" s="6">
        <f>_xlfn.XLOOKUP(E3, Products!A:A, Products!E:E, 0)</f>
        <v>0.22</v>
      </c>
      <c r="K3">
        <f>SUM(F3*G3)</f>
        <v>5256</v>
      </c>
      <c r="L3">
        <f>SUM(K3*(1-J3))</f>
        <v>4099.68</v>
      </c>
      <c r="M3" s="9">
        <f>SUM(K3- (Append1[[#This Row],[Quantity]]*Append1[[#This Row],[UnitCost]]) - Finance!B2)</f>
        <v>-21791</v>
      </c>
      <c r="N3" t="str">
        <f t="shared" ref="N3:N66" si="0">IF(K3&gt;50000, "VIP", IF(K3&gt;=20000, "Regular", "Low Value"))</f>
        <v>Low Value</v>
      </c>
      <c r="O3" t="str">
        <f t="shared" ref="O3:O66" si="1">INDEX(E3:E92, MATCH(H3, H3:H92, 0))</f>
        <v>Laptop</v>
      </c>
      <c r="P3" t="str">
        <f ca="1"/>
        <v>Electronics</v>
      </c>
      <c r="Q3">
        <f ca="1"/>
        <v>469</v>
      </c>
      <c r="R3">
        <f>_xlfn.XLOOKUP(A3, Operations!A:A, Operations!B:B, "")</f>
        <v>3</v>
      </c>
    </row>
    <row r="4" spans="1:18" x14ac:dyDescent="0.3">
      <c r="A4" s="3" t="s">
        <v>18</v>
      </c>
      <c r="B4" s="5">
        <v>45662.789641203701</v>
      </c>
      <c r="C4" s="3" t="s">
        <v>37</v>
      </c>
      <c r="D4">
        <v>1016</v>
      </c>
      <c r="E4" s="3" t="s">
        <v>45</v>
      </c>
      <c r="F4">
        <v>3</v>
      </c>
      <c r="G4">
        <v>1692</v>
      </c>
      <c r="H4" t="str">
        <f>_xlfn.XLOOKUP(E4, Products!A:A, Products!B:B, "Not Found")</f>
        <v>Electronics</v>
      </c>
      <c r="I4">
        <f>_xlfn.XLOOKUP(E4, Products!A:A, Products!D:D, 0)</f>
        <v>469</v>
      </c>
      <c r="J4" s="6">
        <f>_xlfn.XLOOKUP(E4, Products!A:A, Products!E:E, 0)</f>
        <v>0.22</v>
      </c>
      <c r="K4">
        <f>SUM(F4*G4)</f>
        <v>5076</v>
      </c>
      <c r="L4">
        <f>SUM(K4*(1-J4))</f>
        <v>3959.28</v>
      </c>
      <c r="M4" s="9">
        <f>SUM(K4- (Append1[[#This Row],[Quantity]]*Append1[[#This Row],[UnitCost]]) - Finance!B2)</f>
        <v>-21971</v>
      </c>
      <c r="N4" t="str">
        <f t="shared" si="0"/>
        <v>Low Value</v>
      </c>
      <c r="O4" t="str">
        <f t="shared" si="1"/>
        <v>Laptop</v>
      </c>
      <c r="P4" t="str">
        <f ca="1"/>
        <v>Electronics</v>
      </c>
      <c r="Q4">
        <f ca="1"/>
        <v>469</v>
      </c>
      <c r="R4">
        <f>_xlfn.XLOOKUP(A4, Operations!A:A, Operations!B:B, "")</f>
        <v>8</v>
      </c>
    </row>
    <row r="5" spans="1:18" x14ac:dyDescent="0.3">
      <c r="A5" s="3" t="s">
        <v>11</v>
      </c>
      <c r="B5" s="5">
        <v>45663.685914351852</v>
      </c>
      <c r="C5" s="3" t="s">
        <v>40</v>
      </c>
      <c r="D5">
        <v>1012</v>
      </c>
      <c r="E5" s="3" t="s">
        <v>45</v>
      </c>
      <c r="F5">
        <v>2</v>
      </c>
      <c r="G5">
        <v>709</v>
      </c>
      <c r="H5" t="str">
        <f>_xlfn.XLOOKUP(E5, Products!A:A, Products!B:B, "Not Found")</f>
        <v>Electronics</v>
      </c>
      <c r="I5">
        <f>_xlfn.XLOOKUP(E5, Products!A:A, Products!D:D, 0)</f>
        <v>469</v>
      </c>
      <c r="J5" s="6">
        <f>_xlfn.XLOOKUP(E5, Products!A:A, Products!E:E, 0)</f>
        <v>0.22</v>
      </c>
      <c r="K5">
        <f>SUM(F5*G5)</f>
        <v>1418</v>
      </c>
      <c r="L5">
        <f>SUM(K5*(1-J5))</f>
        <v>1106.04</v>
      </c>
      <c r="M5" s="9">
        <f>SUM(K5- (Append1[[#This Row],[Quantity]]*Append1[[#This Row],[UnitCost]]) - Finance!B2)</f>
        <v>-25160</v>
      </c>
      <c r="N5" t="str">
        <f t="shared" si="0"/>
        <v>Low Value</v>
      </c>
      <c r="O5" t="str">
        <f t="shared" si="1"/>
        <v>Laptop</v>
      </c>
      <c r="P5" t="str">
        <f ca="1"/>
        <v>Electronics</v>
      </c>
      <c r="Q5">
        <f ca="1"/>
        <v>469</v>
      </c>
      <c r="R5">
        <f>_xlfn.XLOOKUP(A5, Operations!A:A, Operations!B:B, "")</f>
        <v>5</v>
      </c>
    </row>
    <row r="6" spans="1:18" x14ac:dyDescent="0.3">
      <c r="A6" s="3" t="s">
        <v>36</v>
      </c>
      <c r="B6" s="5">
        <v>45666.62767361111</v>
      </c>
      <c r="C6" s="3" t="s">
        <v>39</v>
      </c>
      <c r="D6">
        <v>1016</v>
      </c>
      <c r="E6" s="3" t="s">
        <v>43</v>
      </c>
      <c r="F6">
        <v>5</v>
      </c>
      <c r="G6">
        <v>1119</v>
      </c>
      <c r="H6" t="str">
        <f>_xlfn.XLOOKUP(E6, Products!A:A, Products!B:B, "Not Found")</f>
        <v>Electronics</v>
      </c>
      <c r="I6">
        <f>_xlfn.XLOOKUP(E6, Products!A:A, Products!D:D, 0)</f>
        <v>463</v>
      </c>
      <c r="J6" s="6">
        <f>_xlfn.XLOOKUP(E6, Products!A:A, Products!E:E, 0)</f>
        <v>0.23</v>
      </c>
      <c r="K6">
        <f>SUM(F6*G6)</f>
        <v>5595</v>
      </c>
      <c r="L6">
        <f>SUM(K6*(1-J6))</f>
        <v>4308.1500000000005</v>
      </c>
      <c r="M6" s="9">
        <f>SUM(K6- (Append1[[#This Row],[Quantity]]*Append1[[#This Row],[UnitCost]]) - Finance!B2)</f>
        <v>-22360</v>
      </c>
      <c r="N6" t="str">
        <f t="shared" si="0"/>
        <v>Low Value</v>
      </c>
      <c r="O6" t="str">
        <f>INDEX(E6:E95, MATCH(H6, H6:H95, 0))</f>
        <v>Monitor</v>
      </c>
      <c r="P6" t="str">
        <f ca="1"/>
        <v>Electronics</v>
      </c>
      <c r="Q6">
        <f ca="1"/>
        <v>463</v>
      </c>
      <c r="R6">
        <f>_xlfn.XLOOKUP(A6, Operations!A:A, Operations!B:B, "")</f>
        <v>2</v>
      </c>
    </row>
    <row r="7" spans="1:18" x14ac:dyDescent="0.3">
      <c r="A7" s="3" t="s">
        <v>15</v>
      </c>
      <c r="B7" s="5">
        <v>45671.497210648151</v>
      </c>
      <c r="C7" s="3" t="s">
        <v>37</v>
      </c>
      <c r="D7">
        <v>1020</v>
      </c>
      <c r="E7" s="3" t="s">
        <v>46</v>
      </c>
      <c r="F7">
        <v>1</v>
      </c>
      <c r="G7">
        <v>1220</v>
      </c>
      <c r="H7" t="str">
        <f>_xlfn.XLOOKUP(E7, Products!A:A, Products!B:B, "Not Found")</f>
        <v>Office</v>
      </c>
      <c r="I7">
        <f>_xlfn.XLOOKUP(E7, Products!A:A, Products!D:D, 0)</f>
        <v>136</v>
      </c>
      <c r="J7" s="6">
        <f>_xlfn.XLOOKUP(E7, Products!A:A, Products!E:E, 0)</f>
        <v>0.1</v>
      </c>
      <c r="K7">
        <f>SUM(F7*G7)</f>
        <v>1220</v>
      </c>
      <c r="L7">
        <f>SUM(K7*(1-J7))</f>
        <v>1098</v>
      </c>
      <c r="M7" s="9">
        <f>SUM(K7- (Append1[[#This Row],[Quantity]]*Append1[[#This Row],[UnitCost]]) - Finance!B2)</f>
        <v>-24556</v>
      </c>
      <c r="N7" t="str">
        <f t="shared" si="0"/>
        <v>Low Value</v>
      </c>
      <c r="O7" t="str">
        <f>INDEX(E7:E96, MATCH(H7, H7:H96, 0))</f>
        <v>Printer</v>
      </c>
      <c r="P7" t="str">
        <f ca="1"/>
        <v>Office</v>
      </c>
      <c r="Q7">
        <f ca="1"/>
        <v>136</v>
      </c>
      <c r="R7">
        <f>_xlfn.XLOOKUP(A7, Operations!A:A, Operations!B:B, "")</f>
        <v>2</v>
      </c>
    </row>
    <row r="8" spans="1:18" x14ac:dyDescent="0.3">
      <c r="A8" s="3" t="s">
        <v>21</v>
      </c>
      <c r="B8" s="5">
        <v>45672.072662037041</v>
      </c>
      <c r="C8" s="3" t="s">
        <v>37</v>
      </c>
      <c r="D8">
        <v>1016</v>
      </c>
      <c r="E8" s="3" t="s">
        <v>43</v>
      </c>
      <c r="F8">
        <v>3</v>
      </c>
      <c r="G8">
        <v>1355</v>
      </c>
      <c r="H8" t="str">
        <f>_xlfn.XLOOKUP(E8, Products!A:A, Products!B:B, "Not Found")</f>
        <v>Electronics</v>
      </c>
      <c r="I8">
        <f>_xlfn.XLOOKUP(E8, Products!A:A, Products!D:D, 0)</f>
        <v>463</v>
      </c>
      <c r="J8" s="6">
        <f>_xlfn.XLOOKUP(E8, Products!A:A, Products!E:E, 0)</f>
        <v>0.23</v>
      </c>
      <c r="K8">
        <f>SUM(F8*G8)</f>
        <v>4065</v>
      </c>
      <c r="L8">
        <f>SUM(K8*(1-J8))</f>
        <v>3130.05</v>
      </c>
      <c r="M8" s="9">
        <f>SUM(K8- (Append1[[#This Row],[Quantity]]*Append1[[#This Row],[UnitCost]]) - Finance!B2)</f>
        <v>-22964</v>
      </c>
      <c r="N8" t="str">
        <f t="shared" si="0"/>
        <v>Low Value</v>
      </c>
      <c r="O8" t="str">
        <f>INDEX(E8:E97, MATCH(H8, H8:H97, 0))</f>
        <v>Monitor</v>
      </c>
      <c r="P8" t="str">
        <f ca="1"/>
        <v>Electronics</v>
      </c>
      <c r="Q8">
        <f ca="1"/>
        <v>463</v>
      </c>
      <c r="R8">
        <f>_xlfn.XLOOKUP(A8, Operations!A:A, Operations!B:B, "")</f>
        <v>4</v>
      </c>
    </row>
    <row r="9" spans="1:18" x14ac:dyDescent="0.3">
      <c r="A9" s="3" t="s">
        <v>17</v>
      </c>
      <c r="B9" s="5">
        <v>45684.929074074083</v>
      </c>
      <c r="C9" s="3" t="s">
        <v>38</v>
      </c>
      <c r="D9">
        <v>1019</v>
      </c>
      <c r="E9" s="3" t="s">
        <v>45</v>
      </c>
      <c r="F9">
        <v>9</v>
      </c>
      <c r="G9">
        <v>417</v>
      </c>
      <c r="H9" t="str">
        <f>_xlfn.XLOOKUP(E9, Products!A:A, Products!B:B, "Not Found")</f>
        <v>Electronics</v>
      </c>
      <c r="I9">
        <f>_xlfn.XLOOKUP(E9, Products!A:A, Products!D:D, 0)</f>
        <v>469</v>
      </c>
      <c r="J9" s="6">
        <f>_xlfn.XLOOKUP(E9, Products!A:A, Products!E:E, 0)</f>
        <v>0.22</v>
      </c>
      <c r="K9">
        <f>SUM(F9*G9)</f>
        <v>3753</v>
      </c>
      <c r="L9">
        <f>SUM(K9*(1-J9))</f>
        <v>2927.34</v>
      </c>
      <c r="M9" s="9">
        <f>SUM(K9- (Append1[[#This Row],[Quantity]]*Append1[[#This Row],[UnitCost]]) - Finance!B2)</f>
        <v>-26108</v>
      </c>
      <c r="N9" t="str">
        <f t="shared" si="0"/>
        <v>Low Value</v>
      </c>
      <c r="O9" t="str">
        <f>INDEX(E9:E98, MATCH(H9, H9:H98, 0))</f>
        <v>Laptop</v>
      </c>
      <c r="P9" t="str">
        <f ca="1"/>
        <v>Electronics</v>
      </c>
      <c r="Q9">
        <f ca="1"/>
        <v>469</v>
      </c>
      <c r="R9">
        <f>_xlfn.XLOOKUP(A9, Operations!A:A, Operations!B:B, "")</f>
        <v>8</v>
      </c>
    </row>
    <row r="10" spans="1:18" x14ac:dyDescent="0.3">
      <c r="A10" s="3" t="s">
        <v>34</v>
      </c>
      <c r="B10" s="5">
        <v>45685.123541666668</v>
      </c>
      <c r="C10" s="3" t="s">
        <v>38</v>
      </c>
      <c r="D10">
        <v>1003</v>
      </c>
      <c r="E10" s="3" t="s">
        <v>43</v>
      </c>
      <c r="F10">
        <v>6</v>
      </c>
      <c r="G10">
        <v>1011</v>
      </c>
      <c r="H10" t="str">
        <f>_xlfn.XLOOKUP(E10, Products!A:A, Products!B:B, "Not Found")</f>
        <v>Electronics</v>
      </c>
      <c r="I10">
        <f>_xlfn.XLOOKUP(E10, Products!A:A, Products!D:D, 0)</f>
        <v>463</v>
      </c>
      <c r="J10" s="6">
        <f>_xlfn.XLOOKUP(E10, Products!A:A, Products!E:E, 0)</f>
        <v>0.23</v>
      </c>
      <c r="K10">
        <f>SUM(F10*G10)</f>
        <v>6066</v>
      </c>
      <c r="L10">
        <f>SUM(K10*(1-J10))</f>
        <v>4670.82</v>
      </c>
      <c r="M10" s="9">
        <f>SUM(K10- (Append1[[#This Row],[Quantity]]*Append1[[#This Row],[UnitCost]]) - Finance!B30)</f>
        <v>3288</v>
      </c>
      <c r="N10" t="str">
        <f t="shared" si="0"/>
        <v>Low Value</v>
      </c>
      <c r="O10" t="str">
        <f>INDEX(E10:E99, MATCH(H10, H10:H99, 0))</f>
        <v>Monitor</v>
      </c>
      <c r="P10" t="str">
        <f ca="1"/>
        <v>Electronics</v>
      </c>
      <c r="Q10">
        <f ca="1"/>
        <v>463</v>
      </c>
      <c r="R10">
        <f>_xlfn.XLOOKUP(A10, Operations!A:A, Operations!B:B, "")</f>
        <v>2</v>
      </c>
    </row>
    <row r="11" spans="1:18" x14ac:dyDescent="0.3">
      <c r="A11" s="3" t="s">
        <v>23</v>
      </c>
      <c r="B11" s="5">
        <v>45688.213564814818</v>
      </c>
      <c r="C11" s="3" t="s">
        <v>40</v>
      </c>
      <c r="D11">
        <v>1008</v>
      </c>
      <c r="E11" s="3" t="s">
        <v>44</v>
      </c>
      <c r="F11">
        <v>3</v>
      </c>
      <c r="G11">
        <v>605</v>
      </c>
      <c r="H11" t="str">
        <f>_xlfn.XLOOKUP(E11, Products!A:A, Products!B:B, "Not Found")</f>
        <v>Electronics</v>
      </c>
      <c r="I11">
        <f>_xlfn.XLOOKUP(E11, Products!A:A, Products!D:D, 0)</f>
        <v>97</v>
      </c>
      <c r="J11" s="6">
        <f>_xlfn.XLOOKUP(E11, Products!A:A, Products!E:E, 0)</f>
        <v>0.08</v>
      </c>
      <c r="K11">
        <f>SUM(F11*G11)</f>
        <v>1815</v>
      </c>
      <c r="L11">
        <f>SUM(K11*(1-J11))</f>
        <v>1669.8000000000002</v>
      </c>
      <c r="M11" s="9">
        <f>SUM(K11- (Append1[[#This Row],[Quantity]]*Append1[[#This Row],[UnitCost]]) - Finance!B2)</f>
        <v>-24116</v>
      </c>
      <c r="N11" t="str">
        <f t="shared" si="0"/>
        <v>Low Value</v>
      </c>
      <c r="O11" t="str">
        <f t="shared" si="1"/>
        <v>Smartphone</v>
      </c>
      <c r="P11" t="str">
        <f ca="1"/>
        <v>Electronics</v>
      </c>
      <c r="Q11">
        <f ca="1"/>
        <v>97</v>
      </c>
      <c r="R11">
        <f>_xlfn.XLOOKUP(A11, Operations!A:A, Operations!B:B, "")</f>
        <v>6</v>
      </c>
    </row>
    <row r="12" spans="1:18" x14ac:dyDescent="0.3">
      <c r="A12" s="3" t="s">
        <v>19</v>
      </c>
      <c r="B12" s="5">
        <v>45693.460138888891</v>
      </c>
      <c r="C12" s="3" t="s">
        <v>39</v>
      </c>
      <c r="D12">
        <v>1001</v>
      </c>
      <c r="E12" s="3" t="s">
        <v>46</v>
      </c>
      <c r="F12">
        <v>4</v>
      </c>
      <c r="G12">
        <v>1853</v>
      </c>
      <c r="H12" t="str">
        <f>_xlfn.XLOOKUP(E12, Products!A:A, Products!B:B, "Not Found")</f>
        <v>Office</v>
      </c>
      <c r="I12">
        <f>_xlfn.XLOOKUP(E12, Products!A:A, Products!D:D, 0)</f>
        <v>136</v>
      </c>
      <c r="J12" s="6">
        <f>_xlfn.XLOOKUP(E12, Products!A:A, Products!E:E, 0)</f>
        <v>0.1</v>
      </c>
      <c r="K12">
        <f>SUM(F12*G12)</f>
        <v>7412</v>
      </c>
      <c r="L12">
        <f>SUM(K12*(1-J12))</f>
        <v>6670.8</v>
      </c>
      <c r="M12" s="9">
        <f>SUM(K12- (Append1[[#This Row],[Quantity]]*Append1[[#This Row],[UnitCost]]) - Finance!B3)</f>
        <v>-36452</v>
      </c>
      <c r="N12" t="str">
        <f t="shared" si="0"/>
        <v>Low Value</v>
      </c>
      <c r="O12" t="str">
        <f t="shared" si="1"/>
        <v>Printer</v>
      </c>
      <c r="P12" t="str">
        <f ca="1"/>
        <v>Office</v>
      </c>
      <c r="Q12">
        <f ca="1"/>
        <v>136</v>
      </c>
      <c r="R12">
        <f>_xlfn.XLOOKUP(A12, Operations!A:A, Operations!B:B, "")</f>
        <v>1</v>
      </c>
    </row>
    <row r="13" spans="1:18" x14ac:dyDescent="0.3">
      <c r="A13" s="3" t="s">
        <v>25</v>
      </c>
      <c r="B13" s="5">
        <v>45696.451539351852</v>
      </c>
      <c r="C13" s="3" t="s">
        <v>40</v>
      </c>
      <c r="D13">
        <v>1010</v>
      </c>
      <c r="E13" s="3" t="s">
        <v>42</v>
      </c>
      <c r="F13">
        <v>1</v>
      </c>
      <c r="G13">
        <v>1621</v>
      </c>
      <c r="H13" t="str">
        <f>_xlfn.XLOOKUP(E13, Products!A:A, Products!B:B, "Not Found")</f>
        <v>Accessories</v>
      </c>
      <c r="I13">
        <f>_xlfn.XLOOKUP(E13, Products!A:A, Products!D:D, 0)</f>
        <v>323</v>
      </c>
      <c r="J13" s="6">
        <f>_xlfn.XLOOKUP(E13, Products!A:A, Products!E:E, 0)</f>
        <v>0.1</v>
      </c>
      <c r="K13">
        <f>SUM(F13*G13)</f>
        <v>1621</v>
      </c>
      <c r="L13">
        <f>SUM(K13*(1-J13))</f>
        <v>1458.9</v>
      </c>
      <c r="M13" s="9">
        <f>SUM(K13- (Append1[[#This Row],[Quantity]]*Append1[[#This Row],[UnitCost]]) - Finance!B21)</f>
        <v>1298</v>
      </c>
      <c r="N13" t="str">
        <f t="shared" si="0"/>
        <v>Low Value</v>
      </c>
      <c r="O13" t="str">
        <f t="shared" si="1"/>
        <v>Headphones</v>
      </c>
      <c r="P13" t="str">
        <f ca="1"/>
        <v>Accessories</v>
      </c>
      <c r="Q13">
        <f ca="1"/>
        <v>323</v>
      </c>
      <c r="R13">
        <f>_xlfn.XLOOKUP(A13, Operations!A:A, Operations!B:B, "")</f>
        <v>2</v>
      </c>
    </row>
    <row r="14" spans="1:18" x14ac:dyDescent="0.3">
      <c r="A14" s="3" t="s">
        <v>10</v>
      </c>
      <c r="B14" s="5">
        <v>45703.571203703701</v>
      </c>
      <c r="C14" s="3" t="s">
        <v>39</v>
      </c>
      <c r="D14">
        <v>1018</v>
      </c>
      <c r="E14" s="3" t="s">
        <v>44</v>
      </c>
      <c r="F14">
        <v>8</v>
      </c>
      <c r="G14">
        <v>726</v>
      </c>
      <c r="H14" t="str">
        <f>_xlfn.XLOOKUP(E14, Products!A:A, Products!B:B, "Not Found")</f>
        <v>Electronics</v>
      </c>
      <c r="I14">
        <f>_xlfn.XLOOKUP(E14, Products!A:A, Products!D:D, 0)</f>
        <v>97</v>
      </c>
      <c r="J14" s="6">
        <f>_xlfn.XLOOKUP(E14, Products!A:A, Products!E:E, 0)</f>
        <v>0.08</v>
      </c>
      <c r="K14">
        <f>SUM(F14*G14)</f>
        <v>5808</v>
      </c>
      <c r="L14">
        <f>SUM(K14*(1-J14))</f>
        <v>5343.3600000000006</v>
      </c>
      <c r="M14" s="9">
        <f>SUM(K14- (Append1[[#This Row],[Quantity]]*Append1[[#This Row],[UnitCost]]) - Finance!B3)</f>
        <v>-38288</v>
      </c>
      <c r="N14" t="str">
        <f t="shared" si="0"/>
        <v>Low Value</v>
      </c>
      <c r="O14" t="str">
        <f t="shared" si="1"/>
        <v>Smartphone</v>
      </c>
      <c r="P14" t="str">
        <f ca="1"/>
        <v>Electronics</v>
      </c>
      <c r="Q14">
        <f ca="1"/>
        <v>97</v>
      </c>
      <c r="R14">
        <f>_xlfn.XLOOKUP(A14, Operations!A:A, Operations!B:B, "")</f>
        <v>4</v>
      </c>
    </row>
    <row r="15" spans="1:18" x14ac:dyDescent="0.3">
      <c r="A15" s="3" t="s">
        <v>14</v>
      </c>
      <c r="B15" s="5">
        <v>45707.394131944442</v>
      </c>
      <c r="C15" s="3" t="s">
        <v>37</v>
      </c>
      <c r="D15">
        <v>1014</v>
      </c>
      <c r="E15" s="3" t="s">
        <v>41</v>
      </c>
      <c r="F15">
        <v>5</v>
      </c>
      <c r="G15">
        <v>1134</v>
      </c>
      <c r="H15" t="str">
        <f>_xlfn.XLOOKUP(E15, Products!A:A, Products!B:B, "Not Found")</f>
        <v>Electronics</v>
      </c>
      <c r="I15">
        <f>_xlfn.XLOOKUP(E15, Products!A:A, Products!D:D, 0)</f>
        <v>492</v>
      </c>
      <c r="J15" s="6">
        <f>_xlfn.XLOOKUP(E15, Products!A:A, Products!E:E, 0)</f>
        <v>0.14000000000000001</v>
      </c>
      <c r="K15">
        <f>SUM(F15*G15)</f>
        <v>5670</v>
      </c>
      <c r="L15">
        <f>SUM(K15*(1-J15))</f>
        <v>4876.2</v>
      </c>
      <c r="M15" s="9">
        <f>SUM(K15- (Append1[[#This Row],[Quantity]]*Append1[[#This Row],[UnitCost]]) - Finance!B3)</f>
        <v>-40110</v>
      </c>
      <c r="N15" t="str">
        <f t="shared" si="0"/>
        <v>Low Value</v>
      </c>
      <c r="O15" t="str">
        <f t="shared" si="1"/>
        <v>Tablet</v>
      </c>
      <c r="P15" t="str">
        <f ca="1"/>
        <v>Electronics</v>
      </c>
      <c r="Q15">
        <f ca="1"/>
        <v>492</v>
      </c>
      <c r="R15">
        <f>_xlfn.XLOOKUP(A15, Operations!A:A, Operations!B:B, "")</f>
        <v>8</v>
      </c>
    </row>
    <row r="16" spans="1:18" x14ac:dyDescent="0.3">
      <c r="A16" s="3" t="s">
        <v>7</v>
      </c>
      <c r="B16" s="5">
        <v>45708.027094907397</v>
      </c>
      <c r="C16" s="3" t="s">
        <v>37</v>
      </c>
      <c r="D16">
        <v>1018</v>
      </c>
      <c r="E16" s="3" t="s">
        <v>41</v>
      </c>
      <c r="F16">
        <v>1</v>
      </c>
      <c r="G16">
        <v>730</v>
      </c>
      <c r="H16" t="str">
        <f>_xlfn.XLOOKUP(E16, Products!A:A, Products!B:B, "Not Found")</f>
        <v>Electronics</v>
      </c>
      <c r="I16">
        <f>_xlfn.XLOOKUP(E16, Products!A:A, Products!D:D, 0)</f>
        <v>492</v>
      </c>
      <c r="J16" s="6">
        <f>_xlfn.XLOOKUP(E16, Products!A:A, Products!E:E, 0)</f>
        <v>0.14000000000000001</v>
      </c>
      <c r="K16">
        <f>SUM(F16*G16)</f>
        <v>730</v>
      </c>
      <c r="L16">
        <f>SUM(K16*(1-J16))</f>
        <v>627.79999999999995</v>
      </c>
      <c r="M16" s="9">
        <f>SUM(K16- (Append1[[#This Row],[Quantity]]*Append1[[#This Row],[UnitCost]]) - Finance!B3)</f>
        <v>-43082</v>
      </c>
      <c r="N16" t="str">
        <f t="shared" si="0"/>
        <v>Low Value</v>
      </c>
      <c r="O16" t="str">
        <f t="shared" si="1"/>
        <v>Tablet</v>
      </c>
      <c r="P16" t="str">
        <f ca="1"/>
        <v>Electronics</v>
      </c>
      <c r="Q16">
        <f ca="1"/>
        <v>492</v>
      </c>
      <c r="R16">
        <f>_xlfn.XLOOKUP(A16, Operations!A:A, Operations!B:B, "")</f>
        <v>5</v>
      </c>
    </row>
    <row r="17" spans="1:18" x14ac:dyDescent="0.3">
      <c r="A17" s="3" t="s">
        <v>31</v>
      </c>
      <c r="B17" s="5">
        <v>45710.772175925929</v>
      </c>
      <c r="C17" s="3" t="s">
        <v>37</v>
      </c>
      <c r="D17">
        <v>1007</v>
      </c>
      <c r="E17" s="3" t="s">
        <v>43</v>
      </c>
      <c r="F17">
        <v>8</v>
      </c>
      <c r="G17">
        <v>1770</v>
      </c>
      <c r="H17" t="str">
        <f>_xlfn.XLOOKUP(E17, Products!A:A, Products!B:B, "Not Found")</f>
        <v>Electronics</v>
      </c>
      <c r="I17">
        <f>_xlfn.XLOOKUP(E17, Products!A:A, Products!D:D, 0)</f>
        <v>463</v>
      </c>
      <c r="J17" s="6">
        <f>_xlfn.XLOOKUP(E17, Products!A:A, Products!E:E, 0)</f>
        <v>0.23</v>
      </c>
      <c r="K17">
        <f>SUM(F17*G17)</f>
        <v>14160</v>
      </c>
      <c r="L17">
        <f>SUM(K17*(1-J17))</f>
        <v>10903.2</v>
      </c>
      <c r="M17" s="9">
        <f>SUM(K17- (Append1[[#This Row],[Quantity]]*Append1[[#This Row],[UnitCost]]) - Finance!B27)</f>
        <v>10456</v>
      </c>
      <c r="N17" t="str">
        <f t="shared" si="0"/>
        <v>Low Value</v>
      </c>
      <c r="O17" t="str">
        <f t="shared" si="1"/>
        <v>Monitor</v>
      </c>
      <c r="P17" t="str">
        <f ca="1"/>
        <v>Electronics</v>
      </c>
      <c r="Q17">
        <f ca="1"/>
        <v>463</v>
      </c>
      <c r="R17">
        <f>_xlfn.XLOOKUP(A17, Operations!A:A, Operations!B:B, "")</f>
        <v>9</v>
      </c>
    </row>
    <row r="18" spans="1:18" x14ac:dyDescent="0.3">
      <c r="A18" s="3" t="s">
        <v>8</v>
      </c>
      <c r="B18" s="5">
        <v>45712.236793981479</v>
      </c>
      <c r="C18" s="3" t="s">
        <v>37</v>
      </c>
      <c r="D18">
        <v>1004</v>
      </c>
      <c r="E18" s="3" t="s">
        <v>42</v>
      </c>
      <c r="F18">
        <v>3</v>
      </c>
      <c r="G18">
        <v>378</v>
      </c>
      <c r="H18" t="str">
        <f>_xlfn.XLOOKUP(E18, Products!A:A, Products!B:B, "Not Found")</f>
        <v>Accessories</v>
      </c>
      <c r="I18">
        <f>_xlfn.XLOOKUP(E18, Products!A:A, Products!D:D, 0)</f>
        <v>323</v>
      </c>
      <c r="J18" s="6">
        <f>_xlfn.XLOOKUP(E18, Products!A:A, Products!E:E, 0)</f>
        <v>0.1</v>
      </c>
      <c r="K18">
        <f>SUM(F18*G18)</f>
        <v>1134</v>
      </c>
      <c r="L18">
        <f>SUM(K18*(1-J18))</f>
        <v>1020.6</v>
      </c>
      <c r="M18" s="9">
        <f>SUM(K18- (Append1[[#This Row],[Quantity]]*Append1[[#This Row],[UnitCost]]) - Finance!B3)</f>
        <v>-43155</v>
      </c>
      <c r="N18" t="str">
        <f t="shared" si="0"/>
        <v>Low Value</v>
      </c>
      <c r="O18" t="str">
        <f t="shared" si="1"/>
        <v>Headphones</v>
      </c>
      <c r="P18" t="str">
        <f ca="1"/>
        <v>Accessories</v>
      </c>
      <c r="Q18">
        <f ca="1"/>
        <v>323</v>
      </c>
      <c r="R18">
        <f>_xlfn.XLOOKUP(A18, Operations!A:A, Operations!B:B, "")</f>
        <v>2</v>
      </c>
    </row>
    <row r="19" spans="1:18" x14ac:dyDescent="0.3">
      <c r="A19" s="3" t="s">
        <v>27</v>
      </c>
      <c r="B19" s="5">
        <v>45713.211342592593</v>
      </c>
      <c r="C19" s="3" t="s">
        <v>37</v>
      </c>
      <c r="D19">
        <v>1008</v>
      </c>
      <c r="E19" s="3" t="s">
        <v>42</v>
      </c>
      <c r="F19">
        <v>7</v>
      </c>
      <c r="G19">
        <v>241</v>
      </c>
      <c r="H19" t="str">
        <f>_xlfn.XLOOKUP(E19, Products!A:A, Products!B:B, "Not Found")</f>
        <v>Accessories</v>
      </c>
      <c r="I19">
        <f>_xlfn.XLOOKUP(E19, Products!A:A, Products!D:D, 0)</f>
        <v>323</v>
      </c>
      <c r="J19" s="6">
        <f>_xlfn.XLOOKUP(E19, Products!A:A, Products!E:E, 0)</f>
        <v>0.1</v>
      </c>
      <c r="K19">
        <f>SUM(F19*G19)</f>
        <v>1687</v>
      </c>
      <c r="L19">
        <f>SUM(K19*(1-J19))</f>
        <v>1518.3</v>
      </c>
      <c r="M19" s="9">
        <f>SUM(K19- (Append1[[#This Row],[Quantity]]*Append1[[#This Row],[UnitCost]]) - Finance!B23)</f>
        <v>-574</v>
      </c>
      <c r="N19" t="str">
        <f t="shared" si="0"/>
        <v>Low Value</v>
      </c>
      <c r="O19" t="str">
        <f t="shared" si="1"/>
        <v>Headphones</v>
      </c>
      <c r="P19" t="str">
        <f ca="1"/>
        <v>Accessories</v>
      </c>
      <c r="Q19">
        <f ca="1"/>
        <v>323</v>
      </c>
      <c r="R19">
        <f>_xlfn.XLOOKUP(A19, Operations!A:A, Operations!B:B, "")</f>
        <v>8</v>
      </c>
    </row>
    <row r="20" spans="1:18" x14ac:dyDescent="0.3">
      <c r="A20" s="3" t="s">
        <v>30</v>
      </c>
      <c r="B20" s="5">
        <v>45715.878263888888</v>
      </c>
      <c r="C20" s="3" t="s">
        <v>39</v>
      </c>
      <c r="D20">
        <v>1020</v>
      </c>
      <c r="E20" s="3" t="s">
        <v>42</v>
      </c>
      <c r="F20">
        <v>8</v>
      </c>
      <c r="G20">
        <v>911</v>
      </c>
      <c r="H20" t="str">
        <f>_xlfn.XLOOKUP(E20, Products!A:A, Products!B:B, "Not Found")</f>
        <v>Accessories</v>
      </c>
      <c r="I20">
        <f>_xlfn.XLOOKUP(E20, Products!A:A, Products!D:D, 0)</f>
        <v>323</v>
      </c>
      <c r="J20" s="6">
        <f>_xlfn.XLOOKUP(E20, Products!A:A, Products!E:E, 0)</f>
        <v>0.1</v>
      </c>
      <c r="K20">
        <f>SUM(F20*G20)</f>
        <v>7288</v>
      </c>
      <c r="L20">
        <f>SUM(K20*(1-J20))</f>
        <v>6559.2</v>
      </c>
      <c r="M20" s="9">
        <f>SUM(K20- (Append1[[#This Row],[Quantity]]*Append1[[#This Row],[UnitCost]]) - Finance!B26)</f>
        <v>4704</v>
      </c>
      <c r="N20" t="str">
        <f t="shared" si="0"/>
        <v>Low Value</v>
      </c>
      <c r="O20" t="str">
        <f t="shared" si="1"/>
        <v>Headphones</v>
      </c>
      <c r="P20" t="str">
        <f ca="1"/>
        <v>Accessories</v>
      </c>
      <c r="Q20">
        <f ca="1"/>
        <v>323</v>
      </c>
      <c r="R20">
        <f>_xlfn.XLOOKUP(A20, Operations!A:A, Operations!B:B, "")</f>
        <v>1</v>
      </c>
    </row>
    <row r="21" spans="1:18" x14ac:dyDescent="0.3">
      <c r="A21" s="3" t="s">
        <v>12</v>
      </c>
      <c r="B21" s="5">
        <v>45716.226770833331</v>
      </c>
      <c r="C21" s="3" t="s">
        <v>39</v>
      </c>
      <c r="D21">
        <v>1013</v>
      </c>
      <c r="E21" s="3" t="s">
        <v>45</v>
      </c>
      <c r="F21">
        <v>8</v>
      </c>
      <c r="G21">
        <v>1817</v>
      </c>
      <c r="H21" t="str">
        <f>_xlfn.XLOOKUP(E21, Products!A:A, Products!B:B, "Not Found")</f>
        <v>Electronics</v>
      </c>
      <c r="I21">
        <f>_xlfn.XLOOKUP(E21, Products!A:A, Products!D:D, 0)</f>
        <v>469</v>
      </c>
      <c r="J21" s="6">
        <f>_xlfn.XLOOKUP(E21, Products!A:A, Products!E:E, 0)</f>
        <v>0.22</v>
      </c>
      <c r="K21">
        <f>SUM(F21*G21)</f>
        <v>14536</v>
      </c>
      <c r="L21">
        <f>SUM(K21*(1-J21))</f>
        <v>11338.08</v>
      </c>
      <c r="M21" s="9">
        <f>SUM(K21- (Append1[[#This Row],[Quantity]]*Append1[[#This Row],[UnitCost]]) - Finance!B7)</f>
        <v>-9295</v>
      </c>
      <c r="N21" t="str">
        <f t="shared" si="0"/>
        <v>Low Value</v>
      </c>
      <c r="O21" t="str">
        <f t="shared" si="1"/>
        <v>Laptop</v>
      </c>
      <c r="P21" t="str">
        <f ca="1"/>
        <v>Electronics</v>
      </c>
      <c r="Q21">
        <f ca="1"/>
        <v>469</v>
      </c>
      <c r="R21">
        <f>_xlfn.XLOOKUP(A21, Operations!A:A, Operations!B:B, "")</f>
        <v>5</v>
      </c>
    </row>
    <row r="22" spans="1:18" x14ac:dyDescent="0.3">
      <c r="A22" s="3" t="s">
        <v>20</v>
      </c>
      <c r="B22" s="5">
        <v>45717.254155092603</v>
      </c>
      <c r="C22" s="3" t="s">
        <v>37</v>
      </c>
      <c r="D22">
        <v>1005</v>
      </c>
      <c r="E22" s="3" t="s">
        <v>46</v>
      </c>
      <c r="F22">
        <v>2</v>
      </c>
      <c r="G22">
        <v>505</v>
      </c>
      <c r="H22" t="str">
        <f>_xlfn.XLOOKUP(E22, Products!A:A, Products!B:B, "Not Found")</f>
        <v>Office</v>
      </c>
      <c r="I22">
        <f>_xlfn.XLOOKUP(E22, Products!A:A, Products!D:D, 0)</f>
        <v>136</v>
      </c>
      <c r="J22" s="6">
        <f>_xlfn.XLOOKUP(E22, Products!A:A, Products!E:E, 0)</f>
        <v>0.1</v>
      </c>
      <c r="K22">
        <f>SUM(F22*G22)</f>
        <v>1010</v>
      </c>
      <c r="L22">
        <f>SUM(K22*(1-J22))</f>
        <v>909</v>
      </c>
      <c r="M22" s="9">
        <f>SUM(K22- (Append1[[#This Row],[Quantity]]*Append1[[#This Row],[UnitCost]]) - Finance!B16)</f>
        <v>738</v>
      </c>
      <c r="N22" t="str">
        <f t="shared" si="0"/>
        <v>Low Value</v>
      </c>
      <c r="O22" t="str">
        <f t="shared" si="1"/>
        <v>Printer</v>
      </c>
      <c r="P22" t="str">
        <f ca="1"/>
        <v>Office</v>
      </c>
      <c r="Q22">
        <f ca="1"/>
        <v>136</v>
      </c>
      <c r="R22">
        <f>_xlfn.XLOOKUP(A22, Operations!A:A, Operations!B:B, "")</f>
        <v>3</v>
      </c>
    </row>
    <row r="23" spans="1:18" x14ac:dyDescent="0.3">
      <c r="A23" s="3" t="s">
        <v>33</v>
      </c>
      <c r="B23" s="5">
        <v>45718.188310185193</v>
      </c>
      <c r="C23" s="3" t="s">
        <v>39</v>
      </c>
      <c r="D23">
        <v>1001</v>
      </c>
      <c r="E23" s="3" t="s">
        <v>43</v>
      </c>
      <c r="F23">
        <v>7</v>
      </c>
      <c r="G23">
        <v>796</v>
      </c>
      <c r="H23" t="str">
        <f>_xlfn.XLOOKUP(E23, Products!A:A, Products!B:B, "Not Found")</f>
        <v>Electronics</v>
      </c>
      <c r="I23">
        <f>_xlfn.XLOOKUP(E23, Products!A:A, Products!D:D, 0)</f>
        <v>463</v>
      </c>
      <c r="J23" s="6">
        <f>_xlfn.XLOOKUP(E23, Products!A:A, Products!E:E, 0)</f>
        <v>0.23</v>
      </c>
      <c r="K23">
        <f>SUM(F23*G23)</f>
        <v>5572</v>
      </c>
      <c r="L23">
        <f>SUM(K23*(1-J23))</f>
        <v>4290.4400000000005</v>
      </c>
      <c r="M23" s="9">
        <f>SUM(K23- (Append1[[#This Row],[Quantity]]*Append1[[#This Row],[UnitCost]]) - Finance!B29)</f>
        <v>2331</v>
      </c>
      <c r="N23" t="str">
        <f t="shared" si="0"/>
        <v>Low Value</v>
      </c>
      <c r="O23" t="str">
        <f t="shared" si="1"/>
        <v>Monitor</v>
      </c>
      <c r="P23" t="str">
        <f ca="1"/>
        <v>Electronics</v>
      </c>
      <c r="Q23">
        <f ca="1"/>
        <v>463</v>
      </c>
      <c r="R23">
        <f>_xlfn.XLOOKUP(A23, Operations!A:A, Operations!B:B, "")</f>
        <v>6</v>
      </c>
    </row>
    <row r="24" spans="1:18" x14ac:dyDescent="0.3">
      <c r="A24" s="3" t="s">
        <v>24</v>
      </c>
      <c r="B24" s="5">
        <v>45718.933310185188</v>
      </c>
      <c r="C24" s="3" t="s">
        <v>37</v>
      </c>
      <c r="D24">
        <v>1009</v>
      </c>
      <c r="E24" s="3" t="s">
        <v>43</v>
      </c>
      <c r="F24">
        <v>7</v>
      </c>
      <c r="G24">
        <v>1149</v>
      </c>
      <c r="H24" t="str">
        <f>_xlfn.XLOOKUP(E24, Products!A:A, Products!B:B, "Not Found")</f>
        <v>Electronics</v>
      </c>
      <c r="I24">
        <f>_xlfn.XLOOKUP(E24, Products!A:A, Products!D:D, 0)</f>
        <v>463</v>
      </c>
      <c r="J24" s="6">
        <f>_xlfn.XLOOKUP(E24, Products!A:A, Products!E:E, 0)</f>
        <v>0.23</v>
      </c>
      <c r="K24">
        <f>SUM(F24*G24)</f>
        <v>8043</v>
      </c>
      <c r="L24">
        <f>SUM(K24*(1-J24))</f>
        <v>6193.1100000000006</v>
      </c>
      <c r="M24" s="9">
        <f>SUM(K24- (Append1[[#This Row],[Quantity]]*Append1[[#This Row],[UnitCost]]) - Finance!B20)</f>
        <v>4802</v>
      </c>
      <c r="N24" t="str">
        <f t="shared" si="0"/>
        <v>Low Value</v>
      </c>
      <c r="O24" t="str">
        <f t="shared" si="1"/>
        <v>Monitor</v>
      </c>
      <c r="P24" t="str">
        <f ca="1"/>
        <v>Electronics</v>
      </c>
      <c r="Q24">
        <f ca="1"/>
        <v>463</v>
      </c>
      <c r="R24">
        <f>_xlfn.XLOOKUP(A24, Operations!A:A, Operations!B:B, "")</f>
        <v>9</v>
      </c>
    </row>
    <row r="25" spans="1:18" x14ac:dyDescent="0.3">
      <c r="A25" s="3" t="s">
        <v>35</v>
      </c>
      <c r="B25" s="5">
        <v>45722.085451388892</v>
      </c>
      <c r="C25" s="3" t="s">
        <v>38</v>
      </c>
      <c r="D25">
        <v>1011</v>
      </c>
      <c r="E25" s="3" t="s">
        <v>46</v>
      </c>
      <c r="F25">
        <v>2</v>
      </c>
      <c r="G25">
        <v>1660</v>
      </c>
      <c r="H25" t="str">
        <f>_xlfn.XLOOKUP(E25, Products!A:A, Products!B:B, "Not Found")</f>
        <v>Office</v>
      </c>
      <c r="I25">
        <f>_xlfn.XLOOKUP(E25, Products!A:A, Products!D:D, 0)</f>
        <v>136</v>
      </c>
      <c r="J25" s="6">
        <f>_xlfn.XLOOKUP(E25, Products!A:A, Products!E:E, 0)</f>
        <v>0.1</v>
      </c>
      <c r="K25">
        <f>SUM(F25*G25)</f>
        <v>3320</v>
      </c>
      <c r="L25">
        <f>SUM(K25*(1-J25))</f>
        <v>2988</v>
      </c>
      <c r="M25" s="9">
        <f>SUM(K25- (Append1[[#This Row],[Quantity]]*Append1[[#This Row],[UnitCost]]) - Finance!B31)</f>
        <v>3048</v>
      </c>
      <c r="N25" t="str">
        <f t="shared" si="0"/>
        <v>Low Value</v>
      </c>
      <c r="O25" t="str">
        <f t="shared" si="1"/>
        <v>Printer</v>
      </c>
      <c r="P25" t="str">
        <f ca="1"/>
        <v>Office</v>
      </c>
      <c r="Q25">
        <f ca="1"/>
        <v>136</v>
      </c>
      <c r="R25">
        <f>_xlfn.XLOOKUP(A25, Operations!A:A, Operations!B:B, "")</f>
        <v>9</v>
      </c>
    </row>
    <row r="26" spans="1:18" x14ac:dyDescent="0.3">
      <c r="A26" s="3" t="s">
        <v>28</v>
      </c>
      <c r="B26" s="5">
        <v>45723.977905092594</v>
      </c>
      <c r="C26" s="3" t="s">
        <v>38</v>
      </c>
      <c r="D26">
        <v>1005</v>
      </c>
      <c r="E26" s="3" t="s">
        <v>46</v>
      </c>
      <c r="F26">
        <v>7</v>
      </c>
      <c r="G26">
        <v>1336</v>
      </c>
      <c r="H26" t="str">
        <f>_xlfn.XLOOKUP(E26, Products!A:A, Products!B:B, "Not Found")</f>
        <v>Office</v>
      </c>
      <c r="I26">
        <f>_xlfn.XLOOKUP(E26, Products!A:A, Products!D:D, 0)</f>
        <v>136</v>
      </c>
      <c r="J26" s="6">
        <f>_xlfn.XLOOKUP(E26, Products!A:A, Products!E:E, 0)</f>
        <v>0.1</v>
      </c>
      <c r="K26">
        <f>SUM(F26*G26)</f>
        <v>9352</v>
      </c>
      <c r="L26">
        <f>SUM(K26*(1-J26))</f>
        <v>8416.8000000000011</v>
      </c>
      <c r="M26" s="9">
        <f>SUM(K26- (Append1[[#This Row],[Quantity]]*Append1[[#This Row],[UnitCost]]) - Finance!B24)</f>
        <v>8400</v>
      </c>
      <c r="N26" t="str">
        <f t="shared" si="0"/>
        <v>Low Value</v>
      </c>
      <c r="O26" t="str">
        <f t="shared" si="1"/>
        <v>Printer</v>
      </c>
      <c r="P26" t="str">
        <f ca="1"/>
        <v>Office</v>
      </c>
      <c r="Q26">
        <f ca="1"/>
        <v>136</v>
      </c>
      <c r="R26">
        <f>_xlfn.XLOOKUP(A26, Operations!A:A, Operations!B:B, "")</f>
        <v>7</v>
      </c>
    </row>
    <row r="27" spans="1:18" x14ac:dyDescent="0.3">
      <c r="A27" s="3" t="s">
        <v>13</v>
      </c>
      <c r="B27" s="5">
        <v>45735.116423611107</v>
      </c>
      <c r="C27" s="3" t="s">
        <v>37</v>
      </c>
      <c r="D27">
        <v>1017</v>
      </c>
      <c r="E27" s="3" t="s">
        <v>41</v>
      </c>
      <c r="F27">
        <v>9</v>
      </c>
      <c r="G27">
        <v>1976</v>
      </c>
      <c r="H27" t="str">
        <f>_xlfn.XLOOKUP(E27, Products!A:A, Products!B:B, "Not Found")</f>
        <v>Electronics</v>
      </c>
      <c r="I27">
        <f>_xlfn.XLOOKUP(E27, Products!A:A, Products!D:D, 0)</f>
        <v>492</v>
      </c>
      <c r="J27" s="6">
        <f>_xlfn.XLOOKUP(E27, Products!A:A, Products!E:E, 0)</f>
        <v>0.14000000000000001</v>
      </c>
      <c r="K27">
        <f>SUM(F27*G27)</f>
        <v>17784</v>
      </c>
      <c r="L27">
        <f>SUM(K27*(1-J27))</f>
        <v>15294.24</v>
      </c>
      <c r="M27" s="9">
        <f>SUM(K27- (Append1[[#This Row],[Quantity]]*Append1[[#This Row],[UnitCost]]) - Finance!B4)</f>
        <v>-20791</v>
      </c>
      <c r="N27" t="str">
        <f t="shared" si="0"/>
        <v>Low Value</v>
      </c>
      <c r="O27" t="str">
        <f t="shared" si="1"/>
        <v>Tablet</v>
      </c>
      <c r="P27" t="str">
        <f ca="1"/>
        <v>Electronics</v>
      </c>
      <c r="Q27">
        <f ca="1"/>
        <v>492</v>
      </c>
      <c r="R27">
        <f>_xlfn.XLOOKUP(A27, Operations!A:A, Operations!B:B, "")</f>
        <v>4</v>
      </c>
    </row>
    <row r="28" spans="1:18" x14ac:dyDescent="0.3">
      <c r="A28" s="3" t="s">
        <v>9</v>
      </c>
      <c r="B28" s="5">
        <v>45736.268287037034</v>
      </c>
      <c r="C28" s="3" t="s">
        <v>38</v>
      </c>
      <c r="D28">
        <v>1005</v>
      </c>
      <c r="E28" s="3" t="s">
        <v>43</v>
      </c>
      <c r="F28">
        <v>1</v>
      </c>
      <c r="G28">
        <v>585</v>
      </c>
      <c r="H28" t="str">
        <f>_xlfn.XLOOKUP(E28, Products!A:A, Products!B:B, "Not Found")</f>
        <v>Electronics</v>
      </c>
      <c r="I28">
        <f>_xlfn.XLOOKUP(E28, Products!A:A, Products!D:D, 0)</f>
        <v>463</v>
      </c>
      <c r="J28" s="6">
        <f>_xlfn.XLOOKUP(E28, Products!A:A, Products!E:E, 0)</f>
        <v>0.23</v>
      </c>
      <c r="K28">
        <f>SUM(F28*G28)</f>
        <v>585</v>
      </c>
      <c r="L28">
        <f>SUM(K28*(1-J28))</f>
        <v>450.45</v>
      </c>
      <c r="M28" s="9">
        <f>SUM(K28- (Append1[[#This Row],[Quantity]]*Append1[[#This Row],[UnitCost]]) - Finance!B4)</f>
        <v>-34025</v>
      </c>
      <c r="N28" t="str">
        <f t="shared" si="0"/>
        <v>Low Value</v>
      </c>
      <c r="O28" t="str">
        <f t="shared" si="1"/>
        <v>Monitor</v>
      </c>
      <c r="P28" t="str">
        <f ca="1"/>
        <v>Electronics</v>
      </c>
      <c r="Q28">
        <f ca="1"/>
        <v>463</v>
      </c>
      <c r="R28">
        <f>_xlfn.XLOOKUP(A28, Operations!A:A, Operations!B:B, "")</f>
        <v>6</v>
      </c>
    </row>
    <row r="29" spans="1:18" x14ac:dyDescent="0.3">
      <c r="A29" s="3" t="s">
        <v>26</v>
      </c>
      <c r="B29" s="5">
        <v>45738.816504629627</v>
      </c>
      <c r="C29" s="3" t="s">
        <v>40</v>
      </c>
      <c r="D29">
        <v>1004</v>
      </c>
      <c r="E29" s="3" t="s">
        <v>46</v>
      </c>
      <c r="F29">
        <v>3</v>
      </c>
      <c r="G29">
        <v>1010</v>
      </c>
      <c r="H29" t="str">
        <f>_xlfn.XLOOKUP(E29, Products!A:A, Products!B:B, "Not Found")</f>
        <v>Office</v>
      </c>
      <c r="I29">
        <f>_xlfn.XLOOKUP(E29, Products!A:A, Products!D:D, 0)</f>
        <v>136</v>
      </c>
      <c r="J29" s="6">
        <f>_xlfn.XLOOKUP(E29, Products!A:A, Products!E:E, 0)</f>
        <v>0.1</v>
      </c>
      <c r="K29">
        <f>SUM(F29*G29)</f>
        <v>3030</v>
      </c>
      <c r="L29">
        <f>SUM(K29*(1-J29))</f>
        <v>2727</v>
      </c>
      <c r="M29" s="9">
        <f>SUM(K29- (Append1[[#This Row],[Quantity]]*Append1[[#This Row],[UnitCost]]) - Finance!B22)</f>
        <v>2622</v>
      </c>
      <c r="N29" t="str">
        <f t="shared" si="0"/>
        <v>Low Value</v>
      </c>
      <c r="O29" t="str">
        <f t="shared" si="1"/>
        <v>Printer</v>
      </c>
      <c r="P29" t="str">
        <f ca="1"/>
        <v>Office</v>
      </c>
      <c r="Q29">
        <f ca="1"/>
        <v>136</v>
      </c>
      <c r="R29">
        <f>_xlfn.XLOOKUP(A29, Operations!A:A, Operations!B:B, "")</f>
        <v>1</v>
      </c>
    </row>
    <row r="30" spans="1:18" x14ac:dyDescent="0.3">
      <c r="A30" s="3" t="s">
        <v>22</v>
      </c>
      <c r="B30" s="5">
        <v>45742.873171296298</v>
      </c>
      <c r="C30" s="3" t="s">
        <v>40</v>
      </c>
      <c r="D30">
        <v>1003</v>
      </c>
      <c r="E30" s="3" t="s">
        <v>46</v>
      </c>
      <c r="F30">
        <v>8</v>
      </c>
      <c r="G30">
        <v>1220</v>
      </c>
      <c r="H30" t="str">
        <f>_xlfn.XLOOKUP(E30, Products!A:A, Products!B:B, "Not Found")</f>
        <v>Office</v>
      </c>
      <c r="I30">
        <f>_xlfn.XLOOKUP(E30, Products!A:A, Products!D:D, 0)</f>
        <v>136</v>
      </c>
      <c r="J30" s="6">
        <f>_xlfn.XLOOKUP(E30, Products!A:A, Products!E:E, 0)</f>
        <v>0.1</v>
      </c>
      <c r="K30">
        <f>SUM(F30*G30)</f>
        <v>9760</v>
      </c>
      <c r="L30">
        <f>SUM(K30*(1-J30))</f>
        <v>8784</v>
      </c>
      <c r="M30" s="9">
        <f>SUM(K30- (Append1[[#This Row],[Quantity]]*Append1[[#This Row],[UnitCost]]) - Finance!B18)</f>
        <v>8672</v>
      </c>
      <c r="N30" t="str">
        <f t="shared" si="0"/>
        <v>Low Value</v>
      </c>
      <c r="O30" t="str">
        <f t="shared" si="1"/>
        <v>Printer</v>
      </c>
      <c r="P30" t="str">
        <f ca="1"/>
        <v>Office</v>
      </c>
      <c r="Q30">
        <f ca="1"/>
        <v>136</v>
      </c>
      <c r="R30">
        <f>_xlfn.XLOOKUP(A30, Operations!A:A, Operations!B:B, "")</f>
        <v>3</v>
      </c>
    </row>
    <row r="31" spans="1:18" x14ac:dyDescent="0.3">
      <c r="A31" s="3" t="s">
        <v>16</v>
      </c>
      <c r="B31" s="5">
        <v>45743.202222222222</v>
      </c>
      <c r="C31" s="3" t="s">
        <v>38</v>
      </c>
      <c r="D31">
        <v>1010</v>
      </c>
      <c r="E31" s="3" t="s">
        <v>42</v>
      </c>
      <c r="F31">
        <v>2</v>
      </c>
      <c r="G31">
        <v>283</v>
      </c>
      <c r="H31" t="str">
        <f>_xlfn.XLOOKUP(E31, Products!A:A, Products!B:B, "Not Found")</f>
        <v>Accessories</v>
      </c>
      <c r="I31">
        <f>_xlfn.XLOOKUP(E31, Products!A:A, Products!D:D, 0)</f>
        <v>323</v>
      </c>
      <c r="J31" s="6">
        <f>_xlfn.XLOOKUP(E31, Products!A:A, Products!E:E, 0)</f>
        <v>0.1</v>
      </c>
      <c r="K31">
        <f>SUM(F31*G31)</f>
        <v>566</v>
      </c>
      <c r="L31">
        <f>SUM(K31*(1-J31))</f>
        <v>509.40000000000003</v>
      </c>
      <c r="M31" s="9">
        <f>SUM(K31- (Append1[[#This Row],[Quantity]]*Append1[[#This Row],[UnitCost]]) - Finance!B12)</f>
        <v>-80</v>
      </c>
      <c r="N31" t="str">
        <f t="shared" si="0"/>
        <v>Low Value</v>
      </c>
      <c r="O31" t="str">
        <f t="shared" si="1"/>
        <v>Headphones</v>
      </c>
      <c r="P31" t="str">
        <f ca="1"/>
        <v>Accessories</v>
      </c>
      <c r="Q31">
        <f ca="1"/>
        <v>323</v>
      </c>
      <c r="R31">
        <f>_xlfn.XLOOKUP(A31, Operations!A:A, Operations!B:B, "")</f>
        <v>2</v>
      </c>
    </row>
    <row r="32" spans="1:18" x14ac:dyDescent="0.3">
      <c r="A32" s="3" t="s">
        <v>65</v>
      </c>
      <c r="B32" s="5">
        <v>45749.992546296293</v>
      </c>
      <c r="C32" s="3" t="s">
        <v>40</v>
      </c>
      <c r="D32">
        <v>1010</v>
      </c>
      <c r="E32" s="3" t="s">
        <v>46</v>
      </c>
      <c r="F32">
        <v>1</v>
      </c>
      <c r="G32">
        <v>648</v>
      </c>
      <c r="H32" t="str">
        <f>_xlfn.XLOOKUP(E32, Products!A:A, Products!B:B, "Not Found")</f>
        <v>Office</v>
      </c>
      <c r="I32">
        <f>_xlfn.XLOOKUP(E32, Products!A:A, Products!D:D, 0)</f>
        <v>136</v>
      </c>
      <c r="J32" s="6">
        <f>_xlfn.XLOOKUP(E32, Products!A:A, Products!E:E, 0)</f>
        <v>0.1</v>
      </c>
      <c r="K32">
        <f>SUM(F32*G32)</f>
        <v>648</v>
      </c>
      <c r="L32">
        <f>SUM(K32*(1-J32))</f>
        <v>583.20000000000005</v>
      </c>
      <c r="M32" s="9">
        <f>SUM(K32- (Append1[[#This Row],[Quantity]]*Append1[[#This Row],[UnitCost]]) - Finance!B51)</f>
        <v>512</v>
      </c>
      <c r="N32" t="str">
        <f t="shared" si="0"/>
        <v>Low Value</v>
      </c>
      <c r="O32" t="str">
        <f t="shared" si="1"/>
        <v>Printer</v>
      </c>
      <c r="P32" t="str">
        <f ca="1"/>
        <v>Office</v>
      </c>
      <c r="Q32">
        <f ca="1"/>
        <v>136</v>
      </c>
      <c r="R32">
        <f>_xlfn.XLOOKUP(A32, Operations!A:A, Operations!B:B, "")</f>
        <v>8</v>
      </c>
    </row>
    <row r="33" spans="1:18" x14ac:dyDescent="0.3">
      <c r="A33" s="3" t="s">
        <v>76</v>
      </c>
      <c r="B33" s="5">
        <v>45752.782893518517</v>
      </c>
      <c r="C33" s="3" t="s">
        <v>39</v>
      </c>
      <c r="D33">
        <v>1006</v>
      </c>
      <c r="E33" s="3" t="s">
        <v>42</v>
      </c>
      <c r="F33">
        <v>2</v>
      </c>
      <c r="G33">
        <v>1035</v>
      </c>
      <c r="H33" t="str">
        <f>_xlfn.XLOOKUP(E33, Products!A:A, Products!B:B, "Not Found")</f>
        <v>Accessories</v>
      </c>
      <c r="I33">
        <f>_xlfn.XLOOKUP(E33, Products!A:A, Products!D:D, 0)</f>
        <v>323</v>
      </c>
      <c r="J33" s="6">
        <f>_xlfn.XLOOKUP(E33, Products!A:A, Products!E:E, 0)</f>
        <v>0.1</v>
      </c>
      <c r="K33">
        <f>SUM(F33*G33)</f>
        <v>2070</v>
      </c>
      <c r="L33">
        <f>SUM(K33*(1-J33))</f>
        <v>1863</v>
      </c>
      <c r="M33" s="9">
        <f>SUM(K33- (Append1[[#This Row],[Quantity]]*Append1[[#This Row],[UnitCost]]) - Finance!B62)</f>
        <v>1424</v>
      </c>
      <c r="N33" t="str">
        <f t="shared" si="0"/>
        <v>Low Value</v>
      </c>
      <c r="O33" t="str">
        <f t="shared" si="1"/>
        <v>Headphones</v>
      </c>
      <c r="P33" t="str">
        <f ca="1"/>
        <v>Accessories</v>
      </c>
      <c r="Q33">
        <f ca="1"/>
        <v>323</v>
      </c>
      <c r="R33">
        <f>_xlfn.XLOOKUP(A33, Operations!A:A, Operations!B:B, "")</f>
        <v>8</v>
      </c>
    </row>
    <row r="34" spans="1:18" x14ac:dyDescent="0.3">
      <c r="A34" s="3" t="s">
        <v>57</v>
      </c>
      <c r="B34" s="5">
        <v>45754.452418981477</v>
      </c>
      <c r="C34" s="3" t="s">
        <v>37</v>
      </c>
      <c r="D34">
        <v>1012</v>
      </c>
      <c r="E34" s="3" t="s">
        <v>42</v>
      </c>
      <c r="F34">
        <v>3</v>
      </c>
      <c r="G34">
        <v>1781</v>
      </c>
      <c r="H34" t="str">
        <f>_xlfn.XLOOKUP(E34, Products!A:A, Products!B:B, "Not Found")</f>
        <v>Accessories</v>
      </c>
      <c r="I34">
        <f>_xlfn.XLOOKUP(E34, Products!A:A, Products!D:D, 0)</f>
        <v>323</v>
      </c>
      <c r="J34" s="6">
        <f>_xlfn.XLOOKUP(E34, Products!A:A, Products!E:E, 0)</f>
        <v>0.1</v>
      </c>
      <c r="K34">
        <f>SUM(F34*G34)</f>
        <v>5343</v>
      </c>
      <c r="L34">
        <f>SUM(K34*(1-J34))</f>
        <v>4808.7</v>
      </c>
      <c r="M34" s="9">
        <f>SUM(K34- (Append1[[#This Row],[Quantity]]*Append1[[#This Row],[UnitCost]]) - Finance!B43)</f>
        <v>4374</v>
      </c>
      <c r="N34" t="str">
        <f t="shared" si="0"/>
        <v>Low Value</v>
      </c>
      <c r="O34" t="str">
        <f t="shared" si="1"/>
        <v>Headphones</v>
      </c>
      <c r="P34" t="str">
        <f ca="1"/>
        <v>Accessories</v>
      </c>
      <c r="Q34">
        <f ca="1"/>
        <v>323</v>
      </c>
      <c r="R34">
        <f>_xlfn.XLOOKUP(A34, Operations!A:A, Operations!B:B, "")</f>
        <v>5</v>
      </c>
    </row>
    <row r="35" spans="1:18" x14ac:dyDescent="0.3">
      <c r="A35" s="3" t="s">
        <v>60</v>
      </c>
      <c r="B35" s="5">
        <v>45754.479502314818</v>
      </c>
      <c r="C35" s="3" t="s">
        <v>40</v>
      </c>
      <c r="D35">
        <v>1009</v>
      </c>
      <c r="E35" s="3" t="s">
        <v>45</v>
      </c>
      <c r="F35">
        <v>8</v>
      </c>
      <c r="G35">
        <v>1539</v>
      </c>
      <c r="H35" t="str">
        <f>_xlfn.XLOOKUP(E35, Products!A:A, Products!B:B, "Not Found")</f>
        <v>Electronics</v>
      </c>
      <c r="I35">
        <f>_xlfn.XLOOKUP(E35, Products!A:A, Products!D:D, 0)</f>
        <v>469</v>
      </c>
      <c r="J35" s="6">
        <f>_xlfn.XLOOKUP(E35, Products!A:A, Products!E:E, 0)</f>
        <v>0.22</v>
      </c>
      <c r="K35">
        <f>SUM(F35*G35)</f>
        <v>12312</v>
      </c>
      <c r="L35">
        <f>SUM(K35*(1-J35))</f>
        <v>9603.36</v>
      </c>
      <c r="M35" s="9">
        <f>SUM(K35- (Append1[[#This Row],[Quantity]]*Append1[[#This Row],[UnitCost]]) - Finance!B46)</f>
        <v>8560</v>
      </c>
      <c r="N35" t="str">
        <f t="shared" si="0"/>
        <v>Low Value</v>
      </c>
      <c r="O35" t="str">
        <f t="shared" si="1"/>
        <v>Laptop</v>
      </c>
      <c r="P35" t="str">
        <f ca="1"/>
        <v>Electronics</v>
      </c>
      <c r="Q35">
        <f ca="1"/>
        <v>469</v>
      </c>
      <c r="R35">
        <f>_xlfn.XLOOKUP(A35, Operations!A:A, Operations!B:B, "")</f>
        <v>4</v>
      </c>
    </row>
    <row r="36" spans="1:18" x14ac:dyDescent="0.3">
      <c r="A36" s="3" t="s">
        <v>72</v>
      </c>
      <c r="B36" s="5">
        <v>45756.893043981479</v>
      </c>
      <c r="C36" s="3" t="s">
        <v>39</v>
      </c>
      <c r="D36">
        <v>1005</v>
      </c>
      <c r="E36" s="3" t="s">
        <v>46</v>
      </c>
      <c r="F36">
        <v>2</v>
      </c>
      <c r="G36">
        <v>109</v>
      </c>
      <c r="H36" t="str">
        <f>_xlfn.XLOOKUP(E36, Products!A:A, Products!B:B, "Not Found")</f>
        <v>Office</v>
      </c>
      <c r="I36">
        <f>_xlfn.XLOOKUP(E36, Products!A:A, Products!D:D, 0)</f>
        <v>136</v>
      </c>
      <c r="J36" s="6">
        <f>_xlfn.XLOOKUP(E36, Products!A:A, Products!E:E, 0)</f>
        <v>0.1</v>
      </c>
      <c r="K36">
        <f>SUM(F36*G36)</f>
        <v>218</v>
      </c>
      <c r="L36">
        <f>SUM(K36*(1-J36))</f>
        <v>196.20000000000002</v>
      </c>
      <c r="M36" s="9">
        <f>SUM(K36- (Append1[[#This Row],[Quantity]]*Append1[[#This Row],[UnitCost]]) - Finance!B58)</f>
        <v>-54</v>
      </c>
      <c r="N36" t="str">
        <f t="shared" si="0"/>
        <v>Low Value</v>
      </c>
      <c r="O36" t="str">
        <f t="shared" si="1"/>
        <v>Printer</v>
      </c>
      <c r="P36" t="str">
        <f ca="1"/>
        <v>Office</v>
      </c>
      <c r="Q36">
        <f ca="1"/>
        <v>136</v>
      </c>
      <c r="R36">
        <f>_xlfn.XLOOKUP(A36, Operations!A:A, Operations!B:B, "")</f>
        <v>2</v>
      </c>
    </row>
    <row r="37" spans="1:18" x14ac:dyDescent="0.3">
      <c r="A37" s="3" t="s">
        <v>55</v>
      </c>
      <c r="B37" s="5">
        <v>45759.131932870368</v>
      </c>
      <c r="C37" s="3" t="s">
        <v>38</v>
      </c>
      <c r="D37">
        <v>1020</v>
      </c>
      <c r="E37" s="3" t="s">
        <v>45</v>
      </c>
      <c r="F37">
        <v>8</v>
      </c>
      <c r="G37">
        <v>1331</v>
      </c>
      <c r="H37" t="str">
        <f>_xlfn.XLOOKUP(E37, Products!A:A, Products!B:B, "Not Found")</f>
        <v>Electronics</v>
      </c>
      <c r="I37">
        <f>_xlfn.XLOOKUP(E37, Products!A:A, Products!D:D, 0)</f>
        <v>469</v>
      </c>
      <c r="J37" s="6">
        <f>_xlfn.XLOOKUP(E37, Products!A:A, Products!E:E, 0)</f>
        <v>0.22</v>
      </c>
      <c r="K37">
        <f>SUM(F37*G37)</f>
        <v>10648</v>
      </c>
      <c r="L37">
        <f>SUM(K37*(1-J37))</f>
        <v>8305.44</v>
      </c>
      <c r="M37" s="9">
        <f>SUM(K37- (Append1[[#This Row],[Quantity]]*Append1[[#This Row],[UnitCost]]) - Finance!B41)</f>
        <v>6896</v>
      </c>
      <c r="N37" t="str">
        <f t="shared" si="0"/>
        <v>Low Value</v>
      </c>
      <c r="O37" t="str">
        <f t="shared" si="1"/>
        <v>Laptop</v>
      </c>
      <c r="P37" t="str">
        <f ca="1"/>
        <v>Electronics</v>
      </c>
      <c r="Q37">
        <f ca="1"/>
        <v>469</v>
      </c>
      <c r="R37">
        <f>_xlfn.XLOOKUP(A37, Operations!A:A, Operations!B:B, "")</f>
        <v>7</v>
      </c>
    </row>
    <row r="38" spans="1:18" x14ac:dyDescent="0.3">
      <c r="A38" s="3" t="s">
        <v>56</v>
      </c>
      <c r="B38" s="5">
        <v>45760.760393518518</v>
      </c>
      <c r="C38" s="3" t="s">
        <v>38</v>
      </c>
      <c r="D38">
        <v>1001</v>
      </c>
      <c r="E38" s="3" t="s">
        <v>44</v>
      </c>
      <c r="F38">
        <v>2</v>
      </c>
      <c r="G38">
        <v>222</v>
      </c>
      <c r="H38" t="str">
        <f>_xlfn.XLOOKUP(E38, Products!A:A, Products!B:B, "Not Found")</f>
        <v>Electronics</v>
      </c>
      <c r="I38">
        <f>_xlfn.XLOOKUP(E38, Products!A:A, Products!D:D, 0)</f>
        <v>97</v>
      </c>
      <c r="J38" s="6">
        <f>_xlfn.XLOOKUP(E38, Products!A:A, Products!E:E, 0)</f>
        <v>0.08</v>
      </c>
      <c r="K38">
        <f>SUM(F38*G38)</f>
        <v>444</v>
      </c>
      <c r="L38">
        <f>SUM(K38*(1-J38))</f>
        <v>408.48</v>
      </c>
      <c r="M38" s="9">
        <f>SUM(K38- (Append1[[#This Row],[Quantity]]*Append1[[#This Row],[UnitCost]]) - Finance!B42)</f>
        <v>250</v>
      </c>
      <c r="N38" t="str">
        <f t="shared" si="0"/>
        <v>Low Value</v>
      </c>
      <c r="O38" t="str">
        <f t="shared" si="1"/>
        <v>Smartphone</v>
      </c>
      <c r="P38" t="str">
        <f ca="1"/>
        <v>Electronics</v>
      </c>
      <c r="Q38">
        <f ca="1"/>
        <v>97</v>
      </c>
      <c r="R38">
        <f>_xlfn.XLOOKUP(A38, Operations!A:A, Operations!B:B, "")</f>
        <v>4</v>
      </c>
    </row>
    <row r="39" spans="1:18" x14ac:dyDescent="0.3">
      <c r="A39" s="3" t="s">
        <v>53</v>
      </c>
      <c r="B39" s="5">
        <v>45766.59642361111</v>
      </c>
      <c r="C39" s="3" t="s">
        <v>39</v>
      </c>
      <c r="D39">
        <v>1010</v>
      </c>
      <c r="E39" s="3" t="s">
        <v>46</v>
      </c>
      <c r="F39">
        <v>5</v>
      </c>
      <c r="G39">
        <v>1485</v>
      </c>
      <c r="H39" t="str">
        <f>_xlfn.XLOOKUP(E39, Products!A:A, Products!B:B, "Not Found")</f>
        <v>Office</v>
      </c>
      <c r="I39">
        <f>_xlfn.XLOOKUP(E39, Products!A:A, Products!D:D, 0)</f>
        <v>136</v>
      </c>
      <c r="J39" s="6">
        <f>_xlfn.XLOOKUP(E39, Products!A:A, Products!E:E, 0)</f>
        <v>0.1</v>
      </c>
      <c r="K39">
        <f>SUM(F39*G39)</f>
        <v>7425</v>
      </c>
      <c r="L39">
        <f>SUM(K39*(1-J39))</f>
        <v>6682.5</v>
      </c>
      <c r="M39" s="9">
        <f>SUM(K39- (Append1[[#This Row],[Quantity]]*Append1[[#This Row],[UnitCost]]) - Finance!B39)</f>
        <v>6745</v>
      </c>
      <c r="N39" t="str">
        <f t="shared" si="0"/>
        <v>Low Value</v>
      </c>
      <c r="O39" t="str">
        <f t="shared" si="1"/>
        <v>Printer</v>
      </c>
      <c r="P39" t="str">
        <f ca="1"/>
        <v>Office</v>
      </c>
      <c r="Q39">
        <f ca="1"/>
        <v>136</v>
      </c>
      <c r="R39">
        <f>_xlfn.XLOOKUP(A39, Operations!A:A, Operations!B:B, "")</f>
        <v>1</v>
      </c>
    </row>
    <row r="40" spans="1:18" x14ac:dyDescent="0.3">
      <c r="A40" s="3" t="s">
        <v>54</v>
      </c>
      <c r="B40" s="5">
        <v>45770.167129629634</v>
      </c>
      <c r="C40" s="3" t="s">
        <v>39</v>
      </c>
      <c r="D40">
        <v>1015</v>
      </c>
      <c r="E40" s="3" t="s">
        <v>44</v>
      </c>
      <c r="F40">
        <v>3</v>
      </c>
      <c r="G40">
        <v>1472</v>
      </c>
      <c r="H40" t="str">
        <f>_xlfn.XLOOKUP(E40, Products!A:A, Products!B:B, "Not Found")</f>
        <v>Electronics</v>
      </c>
      <c r="I40">
        <f>_xlfn.XLOOKUP(E40, Products!A:A, Products!D:D, 0)</f>
        <v>97</v>
      </c>
      <c r="J40" s="6">
        <f>_xlfn.XLOOKUP(E40, Products!A:A, Products!E:E, 0)</f>
        <v>0.08</v>
      </c>
      <c r="K40">
        <f>SUM(F40*G40)</f>
        <v>4416</v>
      </c>
      <c r="L40">
        <f>SUM(K40*(1-J40))</f>
        <v>4062.7200000000003</v>
      </c>
      <c r="M40" s="9">
        <f>SUM(K40- (Append1[[#This Row],[Quantity]]*Append1[[#This Row],[UnitCost]]) - Finance!B40)</f>
        <v>4125</v>
      </c>
      <c r="N40" t="str">
        <f t="shared" si="0"/>
        <v>Low Value</v>
      </c>
      <c r="O40" t="str">
        <f t="shared" si="1"/>
        <v>Smartphone</v>
      </c>
      <c r="P40" t="str">
        <f ca="1"/>
        <v>Electronics</v>
      </c>
      <c r="Q40">
        <f ca="1"/>
        <v>97</v>
      </c>
      <c r="R40">
        <f>_xlfn.XLOOKUP(A40, Operations!A:A, Operations!B:B, "")</f>
        <v>4</v>
      </c>
    </row>
    <row r="41" spans="1:18" x14ac:dyDescent="0.3">
      <c r="A41" s="3" t="s">
        <v>47</v>
      </c>
      <c r="B41" s="5">
        <v>45770.271574074082</v>
      </c>
      <c r="C41" s="3" t="s">
        <v>40</v>
      </c>
      <c r="D41">
        <v>1016</v>
      </c>
      <c r="E41" s="3" t="s">
        <v>41</v>
      </c>
      <c r="F41">
        <v>7</v>
      </c>
      <c r="G41">
        <v>1039</v>
      </c>
      <c r="H41" t="str">
        <f>_xlfn.XLOOKUP(E41, Products!A:A, Products!B:B, "Not Found")</f>
        <v>Electronics</v>
      </c>
      <c r="I41">
        <f>_xlfn.XLOOKUP(E41, Products!A:A, Products!D:D, 0)</f>
        <v>492</v>
      </c>
      <c r="J41" s="6">
        <f>_xlfn.XLOOKUP(E41, Products!A:A, Products!E:E, 0)</f>
        <v>0.14000000000000001</v>
      </c>
      <c r="K41">
        <f>SUM(F41*G41)</f>
        <v>7273</v>
      </c>
      <c r="L41">
        <f>SUM(K41*(1-J41))</f>
        <v>6254.78</v>
      </c>
      <c r="M41" s="9">
        <f>SUM(K41- (Append1[[#This Row],[Quantity]]*Append1[[#This Row],[UnitCost]]) - Finance!B33)</f>
        <v>3829</v>
      </c>
      <c r="N41" t="str">
        <f t="shared" si="0"/>
        <v>Low Value</v>
      </c>
      <c r="O41" t="str">
        <f t="shared" si="1"/>
        <v>Tablet</v>
      </c>
      <c r="P41" t="str">
        <f ca="1"/>
        <v>Electronics</v>
      </c>
      <c r="Q41">
        <f ca="1"/>
        <v>492</v>
      </c>
      <c r="R41">
        <f>_xlfn.XLOOKUP(A41, Operations!A:A, Operations!B:B, "")</f>
        <v>6</v>
      </c>
    </row>
    <row r="42" spans="1:18" x14ac:dyDescent="0.3">
      <c r="A42" s="3" t="s">
        <v>74</v>
      </c>
      <c r="B42" s="5">
        <v>45770.850115740737</v>
      </c>
      <c r="C42" s="3" t="s">
        <v>39</v>
      </c>
      <c r="D42">
        <v>1018</v>
      </c>
      <c r="E42" s="3" t="s">
        <v>42</v>
      </c>
      <c r="F42">
        <v>7</v>
      </c>
      <c r="G42">
        <v>520</v>
      </c>
      <c r="H42" t="str">
        <f>_xlfn.XLOOKUP(E42, Products!A:A, Products!B:B, "Not Found")</f>
        <v>Accessories</v>
      </c>
      <c r="I42">
        <f>_xlfn.XLOOKUP(E42, Products!A:A, Products!D:D, 0)</f>
        <v>323</v>
      </c>
      <c r="J42" s="6">
        <f>_xlfn.XLOOKUP(E42, Products!A:A, Products!E:E, 0)</f>
        <v>0.1</v>
      </c>
      <c r="K42">
        <f>SUM(F42*G42)</f>
        <v>3640</v>
      </c>
      <c r="L42">
        <f>SUM(K42*(1-J42))</f>
        <v>3276</v>
      </c>
      <c r="M42" s="9">
        <f>SUM(K42- (Append1[[#This Row],[Quantity]]*Append1[[#This Row],[UnitCost]]) - Finance!B60)</f>
        <v>1379</v>
      </c>
      <c r="N42" t="str">
        <f t="shared" si="0"/>
        <v>Low Value</v>
      </c>
      <c r="O42" t="str">
        <f t="shared" si="1"/>
        <v>Headphones</v>
      </c>
      <c r="P42" t="str">
        <f ca="1"/>
        <v>Accessories</v>
      </c>
      <c r="Q42">
        <f ca="1"/>
        <v>323</v>
      </c>
      <c r="R42">
        <f>_xlfn.XLOOKUP(A42, Operations!A:A, Operations!B:B, "")</f>
        <v>7</v>
      </c>
    </row>
    <row r="43" spans="1:18" x14ac:dyDescent="0.3">
      <c r="A43" s="3" t="s">
        <v>51</v>
      </c>
      <c r="B43" s="5">
        <v>45771.114571759259</v>
      </c>
      <c r="C43" s="3" t="s">
        <v>40</v>
      </c>
      <c r="D43">
        <v>1018</v>
      </c>
      <c r="E43" s="3" t="s">
        <v>42</v>
      </c>
      <c r="F43">
        <v>9</v>
      </c>
      <c r="G43">
        <v>1259</v>
      </c>
      <c r="H43" t="str">
        <f>_xlfn.XLOOKUP(E43, Products!A:A, Products!B:B, "Not Found")</f>
        <v>Accessories</v>
      </c>
      <c r="I43">
        <f>_xlfn.XLOOKUP(E43, Products!A:A, Products!D:D, 0)</f>
        <v>323</v>
      </c>
      <c r="J43" s="6">
        <f>_xlfn.XLOOKUP(E43, Products!A:A, Products!E:E, 0)</f>
        <v>0.1</v>
      </c>
      <c r="K43">
        <f>SUM(F43*G43)</f>
        <v>11331</v>
      </c>
      <c r="L43">
        <f>SUM(K43*(1-J43))</f>
        <v>10197.9</v>
      </c>
      <c r="M43" s="9">
        <f>SUM(K43- (Append1[[#This Row],[Quantity]]*Append1[[#This Row],[UnitCost]]) - Finance!B37)</f>
        <v>8424</v>
      </c>
      <c r="N43" t="str">
        <f t="shared" si="0"/>
        <v>Low Value</v>
      </c>
      <c r="O43" t="str">
        <f t="shared" si="1"/>
        <v>Headphones</v>
      </c>
      <c r="P43" t="str">
        <f ca="1"/>
        <v>Accessories</v>
      </c>
      <c r="Q43">
        <f ca="1"/>
        <v>323</v>
      </c>
      <c r="R43">
        <f>_xlfn.XLOOKUP(A43, Operations!A:A, Operations!B:B, "")</f>
        <v>4</v>
      </c>
    </row>
    <row r="44" spans="1:18" x14ac:dyDescent="0.3">
      <c r="A44" s="3" t="s">
        <v>68</v>
      </c>
      <c r="B44" s="5">
        <v>45773.565625000003</v>
      </c>
      <c r="C44" s="3" t="s">
        <v>38</v>
      </c>
      <c r="D44">
        <v>1007</v>
      </c>
      <c r="E44" s="3" t="s">
        <v>44</v>
      </c>
      <c r="F44">
        <v>6</v>
      </c>
      <c r="G44">
        <v>1219</v>
      </c>
      <c r="H44" t="str">
        <f>_xlfn.XLOOKUP(E44, Products!A:A, Products!B:B, "Not Found")</f>
        <v>Electronics</v>
      </c>
      <c r="I44">
        <f>_xlfn.XLOOKUP(E44, Products!A:A, Products!D:D, 0)</f>
        <v>97</v>
      </c>
      <c r="J44" s="6">
        <f>_xlfn.XLOOKUP(E44, Products!A:A, Products!E:E, 0)</f>
        <v>0.08</v>
      </c>
      <c r="K44">
        <f>SUM(F44*G44)</f>
        <v>7314</v>
      </c>
      <c r="L44">
        <f>SUM(K44*(1-J44))</f>
        <v>6728.88</v>
      </c>
      <c r="M44" s="9">
        <f>SUM(K44- (Append1[[#This Row],[Quantity]]*Append1[[#This Row],[UnitCost]]) - Finance!B54)</f>
        <v>6732</v>
      </c>
      <c r="N44" t="str">
        <f t="shared" si="0"/>
        <v>Low Value</v>
      </c>
      <c r="O44" t="str">
        <f t="shared" si="1"/>
        <v>Smartphone</v>
      </c>
      <c r="P44" t="str">
        <f ca="1"/>
        <v>Electronics</v>
      </c>
      <c r="Q44">
        <f ca="1"/>
        <v>97</v>
      </c>
      <c r="R44">
        <f>_xlfn.XLOOKUP(A44, Operations!A:A, Operations!B:B, "")</f>
        <v>3</v>
      </c>
    </row>
    <row r="45" spans="1:18" x14ac:dyDescent="0.3">
      <c r="A45" s="3" t="s">
        <v>49</v>
      </c>
      <c r="B45" s="5">
        <v>45774.624965277777</v>
      </c>
      <c r="C45" s="3" t="s">
        <v>38</v>
      </c>
      <c r="D45">
        <v>1014</v>
      </c>
      <c r="E45" s="3" t="s">
        <v>43</v>
      </c>
      <c r="F45">
        <v>5</v>
      </c>
      <c r="G45">
        <v>1951</v>
      </c>
      <c r="H45" t="str">
        <f>_xlfn.XLOOKUP(E45, Products!A:A, Products!B:B, "Not Found")</f>
        <v>Electronics</v>
      </c>
      <c r="I45">
        <f>_xlfn.XLOOKUP(E45, Products!A:A, Products!D:D, 0)</f>
        <v>463</v>
      </c>
      <c r="J45" s="6">
        <f>_xlfn.XLOOKUP(E45, Products!A:A, Products!E:E, 0)</f>
        <v>0.23</v>
      </c>
      <c r="K45">
        <f>SUM(F45*G45)</f>
        <v>9755</v>
      </c>
      <c r="L45">
        <f>SUM(K45*(1-J45))</f>
        <v>7511.35</v>
      </c>
      <c r="M45" s="9">
        <f>SUM(K45- (Append1[[#This Row],[Quantity]]*Append1[[#This Row],[UnitCost]]) - Finance!B35)</f>
        <v>7440</v>
      </c>
      <c r="N45" t="str">
        <f t="shared" si="0"/>
        <v>Low Value</v>
      </c>
      <c r="O45" t="str">
        <f t="shared" si="1"/>
        <v>Monitor</v>
      </c>
      <c r="P45" t="str">
        <f ca="1"/>
        <v>Electronics</v>
      </c>
      <c r="Q45">
        <f ca="1"/>
        <v>463</v>
      </c>
      <c r="R45">
        <f>_xlfn.XLOOKUP(A45, Operations!A:A, Operations!B:B, "")</f>
        <v>3</v>
      </c>
    </row>
    <row r="46" spans="1:18" x14ac:dyDescent="0.3">
      <c r="A46" s="3" t="s">
        <v>73</v>
      </c>
      <c r="B46" s="5">
        <v>45782.080439814818</v>
      </c>
      <c r="C46" s="3" t="s">
        <v>40</v>
      </c>
      <c r="D46">
        <v>1009</v>
      </c>
      <c r="E46" s="3" t="s">
        <v>44</v>
      </c>
      <c r="F46">
        <v>9</v>
      </c>
      <c r="G46">
        <v>249</v>
      </c>
      <c r="H46" t="str">
        <f>_xlfn.XLOOKUP(E46, Products!A:A, Products!B:B, "Not Found")</f>
        <v>Electronics</v>
      </c>
      <c r="I46">
        <f>_xlfn.XLOOKUP(E46, Products!A:A, Products!D:D, 0)</f>
        <v>97</v>
      </c>
      <c r="J46" s="6">
        <f>_xlfn.XLOOKUP(E46, Products!A:A, Products!E:E, 0)</f>
        <v>0.08</v>
      </c>
      <c r="K46">
        <f>SUM(F46*G46)</f>
        <v>2241</v>
      </c>
      <c r="L46">
        <f>SUM(K46*(1-J46))</f>
        <v>2061.7200000000003</v>
      </c>
      <c r="M46" s="9">
        <f>SUM(K46- (Append1[[#This Row],[Quantity]]*Append1[[#This Row],[UnitCost]]) - Finance!B59)</f>
        <v>1368</v>
      </c>
      <c r="N46" t="str">
        <f t="shared" si="0"/>
        <v>Low Value</v>
      </c>
      <c r="O46" t="str">
        <f t="shared" si="1"/>
        <v>Smartphone</v>
      </c>
      <c r="P46" t="str">
        <f ca="1"/>
        <v>Electronics</v>
      </c>
      <c r="Q46">
        <f ca="1"/>
        <v>97</v>
      </c>
      <c r="R46">
        <f>_xlfn.XLOOKUP(A46, Operations!A:A, Operations!B:B, "")</f>
        <v>7</v>
      </c>
    </row>
    <row r="47" spans="1:18" x14ac:dyDescent="0.3">
      <c r="A47" s="3" t="s">
        <v>63</v>
      </c>
      <c r="B47" s="5">
        <v>45787.813692129632</v>
      </c>
      <c r="C47" s="3" t="s">
        <v>40</v>
      </c>
      <c r="D47">
        <v>1009</v>
      </c>
      <c r="E47" s="3" t="s">
        <v>46</v>
      </c>
      <c r="F47">
        <v>1</v>
      </c>
      <c r="G47">
        <v>398</v>
      </c>
      <c r="H47" t="str">
        <f>_xlfn.XLOOKUP(E47, Products!A:A, Products!B:B, "Not Found")</f>
        <v>Office</v>
      </c>
      <c r="I47">
        <f>_xlfn.XLOOKUP(E47, Products!A:A, Products!D:D, 0)</f>
        <v>136</v>
      </c>
      <c r="J47" s="6">
        <f>_xlfn.XLOOKUP(E47, Products!A:A, Products!E:E, 0)</f>
        <v>0.1</v>
      </c>
      <c r="K47">
        <f>SUM(F47*G47)</f>
        <v>398</v>
      </c>
      <c r="L47">
        <f>SUM(K47*(1-J47))</f>
        <v>358.2</v>
      </c>
      <c r="M47" s="9">
        <f>SUM(K47- (Append1[[#This Row],[Quantity]]*Append1[[#This Row],[UnitCost]]) - Finance!B49)</f>
        <v>262</v>
      </c>
      <c r="N47" t="str">
        <f t="shared" si="0"/>
        <v>Low Value</v>
      </c>
      <c r="O47" t="str">
        <f t="shared" si="1"/>
        <v>Printer</v>
      </c>
      <c r="P47" t="str">
        <f ca="1"/>
        <v>Office</v>
      </c>
      <c r="Q47">
        <f ca="1"/>
        <v>136</v>
      </c>
      <c r="R47">
        <f>_xlfn.XLOOKUP(A47, Operations!A:A, Operations!B:B, "")</f>
        <v>5</v>
      </c>
    </row>
    <row r="48" spans="1:18" x14ac:dyDescent="0.3">
      <c r="A48" s="3" t="s">
        <v>61</v>
      </c>
      <c r="B48" s="5">
        <v>45788.261284722219</v>
      </c>
      <c r="C48" s="3" t="s">
        <v>40</v>
      </c>
      <c r="D48">
        <v>1013</v>
      </c>
      <c r="E48" s="3" t="s">
        <v>46</v>
      </c>
      <c r="F48">
        <v>2</v>
      </c>
      <c r="G48">
        <v>1414</v>
      </c>
      <c r="H48" t="str">
        <f>_xlfn.XLOOKUP(E48, Products!A:A, Products!B:B, "Not Found")</f>
        <v>Office</v>
      </c>
      <c r="I48">
        <f>_xlfn.XLOOKUP(E48, Products!A:A, Products!D:D, 0)</f>
        <v>136</v>
      </c>
      <c r="J48" s="6">
        <f>_xlfn.XLOOKUP(E48, Products!A:A, Products!E:E, 0)</f>
        <v>0.1</v>
      </c>
      <c r="K48">
        <f>SUM(F48*G48)</f>
        <v>2828</v>
      </c>
      <c r="L48">
        <f>SUM(K48*(1-J48))</f>
        <v>2545.2000000000003</v>
      </c>
      <c r="M48" s="9">
        <f>SUM(K48- (Append1[[#This Row],[Quantity]]*Append1[[#This Row],[UnitCost]]) - Finance!B47)</f>
        <v>2556</v>
      </c>
      <c r="N48" t="str">
        <f t="shared" si="0"/>
        <v>Low Value</v>
      </c>
      <c r="O48" t="str">
        <f t="shared" si="1"/>
        <v>Printer</v>
      </c>
      <c r="P48" t="str">
        <f ca="1"/>
        <v>Office</v>
      </c>
      <c r="Q48">
        <f ca="1"/>
        <v>136</v>
      </c>
      <c r="R48">
        <f>_xlfn.XLOOKUP(A48, Operations!A:A, Operations!B:B, "")</f>
        <v>1</v>
      </c>
    </row>
    <row r="49" spans="1:18" x14ac:dyDescent="0.3">
      <c r="A49" s="3" t="s">
        <v>62</v>
      </c>
      <c r="B49" s="5">
        <v>45789.088136574072</v>
      </c>
      <c r="C49" s="3" t="s">
        <v>39</v>
      </c>
      <c r="D49">
        <v>1011</v>
      </c>
      <c r="E49" s="3" t="s">
        <v>42</v>
      </c>
      <c r="F49">
        <v>9</v>
      </c>
      <c r="G49">
        <v>1076</v>
      </c>
      <c r="H49" t="str">
        <f>_xlfn.XLOOKUP(E49, Products!A:A, Products!B:B, "Not Found")</f>
        <v>Accessories</v>
      </c>
      <c r="I49">
        <f>_xlfn.XLOOKUP(E49, Products!A:A, Products!D:D, 0)</f>
        <v>323</v>
      </c>
      <c r="J49" s="6">
        <f>_xlfn.XLOOKUP(E49, Products!A:A, Products!E:E, 0)</f>
        <v>0.1</v>
      </c>
      <c r="K49">
        <f>SUM(F49*G49)</f>
        <v>9684</v>
      </c>
      <c r="L49">
        <f>SUM(K49*(1-J49))</f>
        <v>8715.6</v>
      </c>
      <c r="M49" s="9">
        <f>SUM(K49- (Append1[[#This Row],[Quantity]]*Append1[[#This Row],[UnitCost]]) - Finance!B48)</f>
        <v>6777</v>
      </c>
      <c r="N49" t="str">
        <f t="shared" si="0"/>
        <v>Low Value</v>
      </c>
      <c r="O49" t="str">
        <f t="shared" si="1"/>
        <v>Headphones</v>
      </c>
      <c r="P49" t="str">
        <f ca="1"/>
        <v>Accessories</v>
      </c>
      <c r="Q49">
        <f ca="1"/>
        <v>323</v>
      </c>
      <c r="R49">
        <f>_xlfn.XLOOKUP(A49, Operations!A:A, Operations!B:B, "")</f>
        <v>5</v>
      </c>
    </row>
    <row r="50" spans="1:18" x14ac:dyDescent="0.3">
      <c r="A50" s="3" t="s">
        <v>50</v>
      </c>
      <c r="B50" s="5">
        <v>45789.475810185177</v>
      </c>
      <c r="C50" s="3" t="s">
        <v>37</v>
      </c>
      <c r="D50">
        <v>1009</v>
      </c>
      <c r="E50" s="3" t="s">
        <v>44</v>
      </c>
      <c r="F50">
        <v>1</v>
      </c>
      <c r="G50">
        <v>1187</v>
      </c>
      <c r="H50" t="str">
        <f>_xlfn.XLOOKUP(E50, Products!A:A, Products!B:B, "Not Found")</f>
        <v>Electronics</v>
      </c>
      <c r="I50">
        <f>_xlfn.XLOOKUP(E50, Products!A:A, Products!D:D, 0)</f>
        <v>97</v>
      </c>
      <c r="J50" s="6">
        <f>_xlfn.XLOOKUP(E50, Products!A:A, Products!E:E, 0)</f>
        <v>0.08</v>
      </c>
      <c r="K50">
        <f>SUM(F50*G50)</f>
        <v>1187</v>
      </c>
      <c r="L50">
        <f>SUM(K50*(1-J50))</f>
        <v>1092.04</v>
      </c>
      <c r="M50" s="9">
        <f>SUM(K50- (Append1[[#This Row],[Quantity]]*Append1[[#This Row],[UnitCost]]) - Finance!B36)</f>
        <v>1090</v>
      </c>
      <c r="N50" t="str">
        <f t="shared" si="0"/>
        <v>Low Value</v>
      </c>
      <c r="O50" t="str">
        <f t="shared" si="1"/>
        <v>Smartphone</v>
      </c>
      <c r="P50" t="str">
        <f ca="1"/>
        <v>Electronics</v>
      </c>
      <c r="Q50">
        <f ca="1"/>
        <v>97</v>
      </c>
      <c r="R50">
        <f>_xlfn.XLOOKUP(A50, Operations!A:A, Operations!B:B, "")</f>
        <v>9</v>
      </c>
    </row>
    <row r="51" spans="1:18" x14ac:dyDescent="0.3">
      <c r="A51" s="3" t="s">
        <v>70</v>
      </c>
      <c r="B51" s="5">
        <v>45790.060497685183</v>
      </c>
      <c r="C51" s="3" t="s">
        <v>38</v>
      </c>
      <c r="D51">
        <v>1019</v>
      </c>
      <c r="E51" s="3" t="s">
        <v>42</v>
      </c>
      <c r="F51">
        <v>4</v>
      </c>
      <c r="G51">
        <v>1964</v>
      </c>
      <c r="H51" t="str">
        <f>_xlfn.XLOOKUP(E51, Products!A:A, Products!B:B, "Not Found")</f>
        <v>Accessories</v>
      </c>
      <c r="I51">
        <f>_xlfn.XLOOKUP(E51, Products!A:A, Products!D:D, 0)</f>
        <v>323</v>
      </c>
      <c r="J51" s="6">
        <f>_xlfn.XLOOKUP(E51, Products!A:A, Products!E:E, 0)</f>
        <v>0.1</v>
      </c>
      <c r="K51">
        <f>SUM(F51*G51)</f>
        <v>7856</v>
      </c>
      <c r="L51">
        <f>SUM(K51*(1-J51))</f>
        <v>7070.4000000000005</v>
      </c>
      <c r="M51" s="9">
        <f>SUM(K51- (Append1[[#This Row],[Quantity]]*Append1[[#This Row],[UnitCost]]) - Finance!B56)</f>
        <v>6564</v>
      </c>
      <c r="N51" t="str">
        <f t="shared" si="0"/>
        <v>Low Value</v>
      </c>
      <c r="O51" t="str">
        <f t="shared" si="1"/>
        <v>Headphones</v>
      </c>
      <c r="P51" t="str">
        <f ca="1"/>
        <v>Accessories</v>
      </c>
      <c r="Q51">
        <f ca="1"/>
        <v>323</v>
      </c>
      <c r="R51">
        <f>_xlfn.XLOOKUP(A51, Operations!A:A, Operations!B:B, "")</f>
        <v>3</v>
      </c>
    </row>
    <row r="52" spans="1:18" x14ac:dyDescent="0.3">
      <c r="A52" s="3" t="s">
        <v>69</v>
      </c>
      <c r="B52" s="5">
        <v>45790.724930555552</v>
      </c>
      <c r="C52" s="3" t="s">
        <v>37</v>
      </c>
      <c r="D52">
        <v>1020</v>
      </c>
      <c r="E52" s="3" t="s">
        <v>46</v>
      </c>
      <c r="F52">
        <v>2</v>
      </c>
      <c r="G52">
        <v>1169</v>
      </c>
      <c r="H52" t="str">
        <f>_xlfn.XLOOKUP(E52, Products!A:A, Products!B:B, "Not Found")</f>
        <v>Office</v>
      </c>
      <c r="I52">
        <f>_xlfn.XLOOKUP(E52, Products!A:A, Products!D:D, 0)</f>
        <v>136</v>
      </c>
      <c r="J52" s="6">
        <f>_xlfn.XLOOKUP(E52, Products!A:A, Products!E:E, 0)</f>
        <v>0.1</v>
      </c>
      <c r="K52">
        <f>SUM(F52*G52)</f>
        <v>2338</v>
      </c>
      <c r="L52">
        <f>SUM(K52*(1-J52))</f>
        <v>2104.2000000000003</v>
      </c>
      <c r="M52" s="9">
        <f>SUM(K52- (Append1[[#This Row],[Quantity]]*Append1[[#This Row],[UnitCost]]) - Finance!B55)</f>
        <v>2066</v>
      </c>
      <c r="N52" t="str">
        <f t="shared" si="0"/>
        <v>Low Value</v>
      </c>
      <c r="O52" t="str">
        <f t="shared" si="1"/>
        <v>Printer</v>
      </c>
      <c r="P52" t="str">
        <f ca="1"/>
        <v>Office</v>
      </c>
      <c r="Q52">
        <f ca="1"/>
        <v>136</v>
      </c>
      <c r="R52">
        <f>_xlfn.XLOOKUP(A52, Operations!A:A, Operations!B:B, "")</f>
        <v>5</v>
      </c>
    </row>
    <row r="53" spans="1:18" x14ac:dyDescent="0.3">
      <c r="A53" s="3" t="s">
        <v>71</v>
      </c>
      <c r="B53" s="5">
        <v>45797.920590277783</v>
      </c>
      <c r="C53" s="3" t="s">
        <v>38</v>
      </c>
      <c r="D53">
        <v>1002</v>
      </c>
      <c r="E53" s="3" t="s">
        <v>41</v>
      </c>
      <c r="F53">
        <v>4</v>
      </c>
      <c r="G53">
        <v>1929</v>
      </c>
      <c r="H53" t="str">
        <f>_xlfn.XLOOKUP(E53, Products!A:A, Products!B:B, "Not Found")</f>
        <v>Electronics</v>
      </c>
      <c r="I53">
        <f>_xlfn.XLOOKUP(E53, Products!A:A, Products!D:D, 0)</f>
        <v>492</v>
      </c>
      <c r="J53" s="6">
        <f>_xlfn.XLOOKUP(E53, Products!A:A, Products!E:E, 0)</f>
        <v>0.14000000000000001</v>
      </c>
      <c r="K53">
        <f>SUM(F53*G53)</f>
        <v>7716</v>
      </c>
      <c r="L53">
        <f>SUM(K53*(1-J53))</f>
        <v>6635.76</v>
      </c>
      <c r="M53" s="9">
        <f>SUM(K53- (Append1[[#This Row],[Quantity]]*Append1[[#This Row],[UnitCost]]) - Finance!B57)</f>
        <v>5748</v>
      </c>
      <c r="N53" t="str">
        <f t="shared" si="0"/>
        <v>Low Value</v>
      </c>
      <c r="O53" t="str">
        <f t="shared" si="1"/>
        <v>Tablet</v>
      </c>
      <c r="P53" t="str">
        <f ca="1"/>
        <v>Electronics</v>
      </c>
      <c r="Q53">
        <f ca="1"/>
        <v>492</v>
      </c>
      <c r="R53">
        <f>_xlfn.XLOOKUP(A53, Operations!A:A, Operations!B:B, "")</f>
        <v>8</v>
      </c>
    </row>
    <row r="54" spans="1:18" x14ac:dyDescent="0.3">
      <c r="A54" s="3" t="s">
        <v>64</v>
      </c>
      <c r="B54" s="5">
        <v>45807.765486111108</v>
      </c>
      <c r="C54" s="3" t="s">
        <v>39</v>
      </c>
      <c r="D54">
        <v>1003</v>
      </c>
      <c r="E54" s="3" t="s">
        <v>42</v>
      </c>
      <c r="F54">
        <v>8</v>
      </c>
      <c r="G54">
        <v>1684</v>
      </c>
      <c r="H54" t="str">
        <f>_xlfn.XLOOKUP(E54, Products!A:A, Products!B:B, "Not Found")</f>
        <v>Accessories</v>
      </c>
      <c r="I54">
        <f>_xlfn.XLOOKUP(E54, Products!A:A, Products!D:D, 0)</f>
        <v>323</v>
      </c>
      <c r="J54" s="6">
        <f>_xlfn.XLOOKUP(E54, Products!A:A, Products!E:E, 0)</f>
        <v>0.1</v>
      </c>
      <c r="K54">
        <f>SUM(F54*G54)</f>
        <v>13472</v>
      </c>
      <c r="L54">
        <f>SUM(K54*(1-J54))</f>
        <v>12124.800000000001</v>
      </c>
      <c r="M54" s="9">
        <f>SUM(K54- (Append1[[#This Row],[Quantity]]*Append1[[#This Row],[UnitCost]]) - Finance!B50)</f>
        <v>10888</v>
      </c>
      <c r="N54" t="str">
        <f t="shared" si="0"/>
        <v>Low Value</v>
      </c>
      <c r="O54" t="str">
        <f t="shared" si="1"/>
        <v>Headphones</v>
      </c>
      <c r="P54" t="str">
        <f ca="1"/>
        <v>Accessories</v>
      </c>
      <c r="Q54">
        <f ca="1"/>
        <v>323</v>
      </c>
      <c r="R54">
        <f>_xlfn.XLOOKUP(A54, Operations!A:A, Operations!B:B, "")</f>
        <v>6</v>
      </c>
    </row>
    <row r="55" spans="1:18" x14ac:dyDescent="0.3">
      <c r="A55" s="3" t="s">
        <v>75</v>
      </c>
      <c r="B55" s="5">
        <v>45811.899641203701</v>
      </c>
      <c r="C55" s="3" t="s">
        <v>37</v>
      </c>
      <c r="D55">
        <v>1007</v>
      </c>
      <c r="E55" s="3" t="s">
        <v>43</v>
      </c>
      <c r="F55">
        <v>9</v>
      </c>
      <c r="G55">
        <v>854</v>
      </c>
      <c r="H55" t="str">
        <f>_xlfn.XLOOKUP(E55, Products!A:A, Products!B:B, "Not Found")</f>
        <v>Electronics</v>
      </c>
      <c r="I55">
        <f>_xlfn.XLOOKUP(E55, Products!A:A, Products!D:D, 0)</f>
        <v>463</v>
      </c>
      <c r="J55" s="6">
        <f>_xlfn.XLOOKUP(E55, Products!A:A, Products!E:E, 0)</f>
        <v>0.23</v>
      </c>
      <c r="K55">
        <f>SUM(F55*G55)</f>
        <v>7686</v>
      </c>
      <c r="L55">
        <f>SUM(K55*(1-J55))</f>
        <v>5918.22</v>
      </c>
      <c r="M55" s="9">
        <f>SUM(K55- (Append1[[#This Row],[Quantity]]*Append1[[#This Row],[UnitCost]]) - Finance!B61)</f>
        <v>3519</v>
      </c>
      <c r="N55" t="str">
        <f t="shared" si="0"/>
        <v>Low Value</v>
      </c>
      <c r="O55" t="str">
        <f t="shared" si="1"/>
        <v>Monitor</v>
      </c>
      <c r="P55" t="str">
        <f ca="1"/>
        <v>Electronics</v>
      </c>
      <c r="Q55">
        <f ca="1"/>
        <v>463</v>
      </c>
      <c r="R55">
        <f>_xlfn.XLOOKUP(A55, Operations!A:A, Operations!B:B, "")</f>
        <v>1</v>
      </c>
    </row>
    <row r="56" spans="1:18" x14ac:dyDescent="0.3">
      <c r="A56" s="3" t="s">
        <v>66</v>
      </c>
      <c r="B56" s="5">
        <v>45816.867118055547</v>
      </c>
      <c r="C56" s="3" t="s">
        <v>39</v>
      </c>
      <c r="D56">
        <v>1006</v>
      </c>
      <c r="E56" s="3" t="s">
        <v>45</v>
      </c>
      <c r="F56">
        <v>6</v>
      </c>
      <c r="G56">
        <v>634</v>
      </c>
      <c r="H56" t="str">
        <f>_xlfn.XLOOKUP(E56, Products!A:A, Products!B:B, "Not Found")</f>
        <v>Electronics</v>
      </c>
      <c r="I56">
        <f>_xlfn.XLOOKUP(E56, Products!A:A, Products!D:D, 0)</f>
        <v>469</v>
      </c>
      <c r="J56" s="6">
        <f>_xlfn.XLOOKUP(E56, Products!A:A, Products!E:E, 0)</f>
        <v>0.22</v>
      </c>
      <c r="K56">
        <f>SUM(F56*G56)</f>
        <v>3804</v>
      </c>
      <c r="L56">
        <f>SUM(K56*(1-J56))</f>
        <v>2967.12</v>
      </c>
      <c r="M56" s="9">
        <f>SUM(K56- (Append1[[#This Row],[Quantity]]*Append1[[#This Row],[UnitCost]]) - Finance!B52)</f>
        <v>990</v>
      </c>
      <c r="N56" t="str">
        <f t="shared" si="0"/>
        <v>Low Value</v>
      </c>
      <c r="O56" t="str">
        <f t="shared" si="1"/>
        <v>Laptop</v>
      </c>
      <c r="P56" t="str">
        <f ca="1"/>
        <v>Electronics</v>
      </c>
      <c r="Q56">
        <f ca="1"/>
        <v>469</v>
      </c>
      <c r="R56">
        <f>_xlfn.XLOOKUP(A56, Operations!A:A, Operations!B:B, "")</f>
        <v>7</v>
      </c>
    </row>
    <row r="57" spans="1:18" x14ac:dyDescent="0.3">
      <c r="A57" s="3" t="s">
        <v>48</v>
      </c>
      <c r="B57" s="5">
        <v>45821.985358796293</v>
      </c>
      <c r="C57" s="3" t="s">
        <v>38</v>
      </c>
      <c r="D57">
        <v>1010</v>
      </c>
      <c r="E57" s="3" t="s">
        <v>44</v>
      </c>
      <c r="F57">
        <v>2</v>
      </c>
      <c r="G57">
        <v>809</v>
      </c>
      <c r="H57" t="str">
        <f>_xlfn.XLOOKUP(E57, Products!A:A, Products!B:B, "Not Found")</f>
        <v>Electronics</v>
      </c>
      <c r="I57">
        <f>_xlfn.XLOOKUP(E57, Products!A:A, Products!D:D, 0)</f>
        <v>97</v>
      </c>
      <c r="J57" s="6">
        <f>_xlfn.XLOOKUP(E57, Products!A:A, Products!E:E, 0)</f>
        <v>0.08</v>
      </c>
      <c r="K57">
        <f>SUM(F57*G57)</f>
        <v>1618</v>
      </c>
      <c r="L57">
        <f>SUM(K57*(1-J57))</f>
        <v>1488.5600000000002</v>
      </c>
      <c r="M57" s="9">
        <f>SUM(K57- (Append1[[#This Row],[Quantity]]*Append1[[#This Row],[UnitCost]]) - Finance!B34)</f>
        <v>1424</v>
      </c>
      <c r="N57" t="str">
        <f t="shared" si="0"/>
        <v>Low Value</v>
      </c>
      <c r="O57" t="str">
        <f t="shared" si="1"/>
        <v>Smartphone</v>
      </c>
      <c r="P57" t="str">
        <f ca="1"/>
        <v>Electronics</v>
      </c>
      <c r="Q57">
        <f ca="1"/>
        <v>97</v>
      </c>
      <c r="R57">
        <f>_xlfn.XLOOKUP(A57, Operations!A:A, Operations!B:B, "")</f>
        <v>5</v>
      </c>
    </row>
    <row r="58" spans="1:18" x14ac:dyDescent="0.3">
      <c r="A58" s="3" t="s">
        <v>58</v>
      </c>
      <c r="B58" s="5">
        <v>45823.740358796298</v>
      </c>
      <c r="C58" s="3" t="s">
        <v>38</v>
      </c>
      <c r="D58">
        <v>1001</v>
      </c>
      <c r="E58" s="3" t="s">
        <v>42</v>
      </c>
      <c r="F58">
        <v>2</v>
      </c>
      <c r="G58">
        <v>1545</v>
      </c>
      <c r="H58" t="str">
        <f>_xlfn.XLOOKUP(E58, Products!A:A, Products!B:B, "Not Found")</f>
        <v>Accessories</v>
      </c>
      <c r="I58">
        <f>_xlfn.XLOOKUP(E58, Products!A:A, Products!D:D, 0)</f>
        <v>323</v>
      </c>
      <c r="J58" s="6">
        <f>_xlfn.XLOOKUP(E58, Products!A:A, Products!E:E, 0)</f>
        <v>0.1</v>
      </c>
      <c r="K58">
        <f>SUM(F58*G58)</f>
        <v>3090</v>
      </c>
      <c r="L58">
        <f>SUM(K58*(1-J58))</f>
        <v>2781</v>
      </c>
      <c r="M58" s="9">
        <f>SUM(K58- (Append1[[#This Row],[Quantity]]*Append1[[#This Row],[UnitCost]]) - Finance!B44)</f>
        <v>2444</v>
      </c>
      <c r="N58" t="str">
        <f t="shared" si="0"/>
        <v>Low Value</v>
      </c>
      <c r="O58" t="str">
        <f t="shared" si="1"/>
        <v>Headphones</v>
      </c>
      <c r="P58" t="str">
        <f ca="1"/>
        <v>Accessories</v>
      </c>
      <c r="Q58">
        <f ca="1"/>
        <v>323</v>
      </c>
      <c r="R58">
        <f>_xlfn.XLOOKUP(A58, Operations!A:A, Operations!B:B, "")</f>
        <v>8</v>
      </c>
    </row>
    <row r="59" spans="1:18" x14ac:dyDescent="0.3">
      <c r="A59" s="3" t="s">
        <v>59</v>
      </c>
      <c r="B59" s="5">
        <v>45827.390497685177</v>
      </c>
      <c r="C59" s="3" t="s">
        <v>39</v>
      </c>
      <c r="D59">
        <v>1019</v>
      </c>
      <c r="E59" s="3" t="s">
        <v>45</v>
      </c>
      <c r="F59">
        <v>1</v>
      </c>
      <c r="G59">
        <v>1437</v>
      </c>
      <c r="H59" t="str">
        <f>_xlfn.XLOOKUP(E59, Products!A:A, Products!B:B, "Not Found")</f>
        <v>Electronics</v>
      </c>
      <c r="I59">
        <f>_xlfn.XLOOKUP(E59, Products!A:A, Products!D:D, 0)</f>
        <v>469</v>
      </c>
      <c r="J59" s="6">
        <f>_xlfn.XLOOKUP(E59, Products!A:A, Products!E:E, 0)</f>
        <v>0.22</v>
      </c>
      <c r="K59">
        <f>SUM(F59*G59)</f>
        <v>1437</v>
      </c>
      <c r="L59">
        <f>SUM(K59*(1-J59))</f>
        <v>1120.8600000000001</v>
      </c>
      <c r="M59" s="9">
        <f>SUM(K59- (Append1[[#This Row],[Quantity]]*Append1[[#This Row],[UnitCost]]) - Finance!B45)</f>
        <v>968</v>
      </c>
      <c r="N59" t="str">
        <f t="shared" si="0"/>
        <v>Low Value</v>
      </c>
      <c r="O59" t="str">
        <f t="shared" si="1"/>
        <v>Laptop</v>
      </c>
      <c r="P59" t="str">
        <f ca="1"/>
        <v>Electronics</v>
      </c>
      <c r="Q59">
        <f ca="1"/>
        <v>469</v>
      </c>
      <c r="R59">
        <f>_xlfn.XLOOKUP(A59, Operations!A:A, Operations!B:B, "")</f>
        <v>7</v>
      </c>
    </row>
    <row r="60" spans="1:18" x14ac:dyDescent="0.3">
      <c r="A60" s="3" t="s">
        <v>52</v>
      </c>
      <c r="B60" s="5">
        <v>45833.931319444448</v>
      </c>
      <c r="C60" s="3" t="s">
        <v>40</v>
      </c>
      <c r="D60">
        <v>1010</v>
      </c>
      <c r="E60" s="3" t="s">
        <v>43</v>
      </c>
      <c r="F60">
        <v>6</v>
      </c>
      <c r="G60">
        <v>1460</v>
      </c>
      <c r="H60" t="str">
        <f>_xlfn.XLOOKUP(E60, Products!A:A, Products!B:B, "Not Found")</f>
        <v>Electronics</v>
      </c>
      <c r="I60">
        <f>_xlfn.XLOOKUP(E60, Products!A:A, Products!D:D, 0)</f>
        <v>463</v>
      </c>
      <c r="J60" s="6">
        <f>_xlfn.XLOOKUP(E60, Products!A:A, Products!E:E, 0)</f>
        <v>0.23</v>
      </c>
      <c r="K60">
        <f>SUM(F60*G60)</f>
        <v>8760</v>
      </c>
      <c r="L60">
        <f>SUM(K60*(1-J60))</f>
        <v>6745.2</v>
      </c>
      <c r="M60" s="9">
        <f>SUM(K60- (Append1[[#This Row],[Quantity]]*Append1[[#This Row],[UnitCost]]) - Finance!B38)</f>
        <v>5982</v>
      </c>
      <c r="N60" t="str">
        <f t="shared" si="0"/>
        <v>Low Value</v>
      </c>
      <c r="O60" t="str">
        <f t="shared" si="1"/>
        <v>Monitor</v>
      </c>
      <c r="P60" t="str">
        <f ca="1"/>
        <v>Electronics</v>
      </c>
      <c r="Q60">
        <f ca="1"/>
        <v>463</v>
      </c>
      <c r="R60">
        <f>_xlfn.XLOOKUP(A60, Operations!A:A, Operations!B:B, "")</f>
        <v>6</v>
      </c>
    </row>
    <row r="61" spans="1:18" x14ac:dyDescent="0.3">
      <c r="A61" s="3" t="s">
        <v>67</v>
      </c>
      <c r="B61" s="5">
        <v>45835.860034722216</v>
      </c>
      <c r="C61" s="3" t="s">
        <v>38</v>
      </c>
      <c r="D61">
        <v>1007</v>
      </c>
      <c r="E61" s="3" t="s">
        <v>45</v>
      </c>
      <c r="F61">
        <v>3</v>
      </c>
      <c r="G61">
        <v>119</v>
      </c>
      <c r="H61" t="str">
        <f>_xlfn.XLOOKUP(E61, Products!A:A, Products!B:B, "Not Found")</f>
        <v>Electronics</v>
      </c>
      <c r="I61">
        <f>_xlfn.XLOOKUP(E61, Products!A:A, Products!D:D, 0)</f>
        <v>469</v>
      </c>
      <c r="J61" s="6">
        <f>_xlfn.XLOOKUP(E61, Products!A:A, Products!E:E, 0)</f>
        <v>0.22</v>
      </c>
      <c r="K61">
        <f>SUM(F61*G61)</f>
        <v>357</v>
      </c>
      <c r="L61">
        <f>SUM(K61*(1-J61))</f>
        <v>278.46000000000004</v>
      </c>
      <c r="M61" s="9">
        <f>SUM(K61- (Append1[[#This Row],[Quantity]]*Append1[[#This Row],[UnitCost]]) - Finance!B53)</f>
        <v>-1050</v>
      </c>
      <c r="N61" t="str">
        <f t="shared" si="0"/>
        <v>Low Value</v>
      </c>
      <c r="O61" t="str">
        <f t="shared" si="1"/>
        <v>Laptop</v>
      </c>
      <c r="P61" t="str">
        <f ca="1"/>
        <v>Electronics</v>
      </c>
      <c r="Q61">
        <f ca="1"/>
        <v>469</v>
      </c>
      <c r="R61">
        <f>_xlfn.XLOOKUP(A61, Operations!A:A, Operations!B:B, "")</f>
        <v>7</v>
      </c>
    </row>
    <row r="62" spans="1:18" x14ac:dyDescent="0.3">
      <c r="A62" s="3" t="s">
        <v>77</v>
      </c>
      <c r="B62" s="5">
        <v>45839.827893518523</v>
      </c>
      <c r="C62" s="3" t="s">
        <v>40</v>
      </c>
      <c r="D62">
        <v>1001</v>
      </c>
      <c r="E62" s="3" t="s">
        <v>43</v>
      </c>
      <c r="F62">
        <v>4</v>
      </c>
      <c r="G62">
        <v>160</v>
      </c>
      <c r="H62" t="str">
        <f>_xlfn.XLOOKUP(E62, Products!A:A, Products!B:B, "Not Found")</f>
        <v>Electronics</v>
      </c>
      <c r="I62">
        <f>_xlfn.XLOOKUP(E62, Products!A:A, Products!D:D, 0)</f>
        <v>463</v>
      </c>
      <c r="J62" s="6">
        <f>_xlfn.XLOOKUP(E62, Products!A:A, Products!E:E, 0)</f>
        <v>0.23</v>
      </c>
      <c r="K62">
        <f>SUM(F62*G62)</f>
        <v>640</v>
      </c>
      <c r="L62">
        <f>SUM(K62*(1-J62))</f>
        <v>492.8</v>
      </c>
      <c r="M62" s="9">
        <f>SUM(K62- (Append1[[#This Row],[Quantity]]*Append1[[#This Row],[UnitCost]]) - Finance!B63)</f>
        <v>-1212</v>
      </c>
      <c r="N62" t="str">
        <f t="shared" si="0"/>
        <v>Low Value</v>
      </c>
      <c r="O62" t="str">
        <f t="shared" si="1"/>
        <v>Monitor</v>
      </c>
      <c r="P62" t="str">
        <f ca="1"/>
        <v>Electronics</v>
      </c>
      <c r="Q62">
        <f ca="1"/>
        <v>463</v>
      </c>
      <c r="R62">
        <f>_xlfn.XLOOKUP(A62, Operations!A:A, Operations!B:B, "")</f>
        <v>3</v>
      </c>
    </row>
    <row r="63" spans="1:18" x14ac:dyDescent="0.3">
      <c r="A63" s="3" t="s">
        <v>98</v>
      </c>
      <c r="B63" s="5">
        <v>45841.351273148153</v>
      </c>
      <c r="C63" s="3" t="s">
        <v>40</v>
      </c>
      <c r="D63">
        <v>1012</v>
      </c>
      <c r="E63" s="3" t="s">
        <v>43</v>
      </c>
      <c r="F63">
        <v>1</v>
      </c>
      <c r="G63">
        <v>1186</v>
      </c>
      <c r="H63" t="str">
        <f>_xlfn.XLOOKUP(E63, Products!A:A, Products!B:B, "Not Found")</f>
        <v>Electronics</v>
      </c>
      <c r="I63">
        <f>_xlfn.XLOOKUP(E63, Products!A:A, Products!D:D, 0)</f>
        <v>463</v>
      </c>
      <c r="J63" s="6">
        <f>_xlfn.XLOOKUP(E63, Products!A:A, Products!E:E, 0)</f>
        <v>0.23</v>
      </c>
      <c r="K63">
        <f>SUM(F63*G63)</f>
        <v>1186</v>
      </c>
      <c r="L63">
        <f>SUM(K63*(1-J63))</f>
        <v>913.22</v>
      </c>
      <c r="M63" s="9">
        <f>SUM(K63- (Append1[[#This Row],[Quantity]]*Append1[[#This Row],[UnitCost]]) - Finance!B84)</f>
        <v>723</v>
      </c>
      <c r="N63" t="str">
        <f t="shared" si="0"/>
        <v>Low Value</v>
      </c>
      <c r="O63" t="str">
        <f t="shared" si="1"/>
        <v>Monitor</v>
      </c>
      <c r="P63" t="str">
        <f ca="1"/>
        <v>Electronics</v>
      </c>
      <c r="Q63">
        <f ca="1"/>
        <v>463</v>
      </c>
      <c r="R63">
        <f>_xlfn.XLOOKUP(A63, Operations!A:A, Operations!B:B, "")</f>
        <v>8</v>
      </c>
    </row>
    <row r="64" spans="1:18" x14ac:dyDescent="0.3">
      <c r="A64" s="3" t="s">
        <v>80</v>
      </c>
      <c r="B64" s="5">
        <v>45844.2341087963</v>
      </c>
      <c r="C64" s="3" t="s">
        <v>39</v>
      </c>
      <c r="D64">
        <v>1019</v>
      </c>
      <c r="E64" s="3" t="s">
        <v>45</v>
      </c>
      <c r="F64">
        <v>3</v>
      </c>
      <c r="G64">
        <v>603</v>
      </c>
      <c r="H64" t="str">
        <f>_xlfn.XLOOKUP(E64, Products!A:A, Products!B:B, "Not Found")</f>
        <v>Electronics</v>
      </c>
      <c r="I64">
        <f>_xlfn.XLOOKUP(E64, Products!A:A, Products!D:D, 0)</f>
        <v>469</v>
      </c>
      <c r="J64" s="6">
        <f>_xlfn.XLOOKUP(E64, Products!A:A, Products!E:E, 0)</f>
        <v>0.22</v>
      </c>
      <c r="K64">
        <f>SUM(F64*G64)</f>
        <v>1809</v>
      </c>
      <c r="L64">
        <f>SUM(K64*(1-J64))</f>
        <v>1411.02</v>
      </c>
      <c r="M64" s="9">
        <f>SUM(K64- (Append1[[#This Row],[Quantity]]*Append1[[#This Row],[UnitCost]]) - Finance!B66)</f>
        <v>402</v>
      </c>
      <c r="N64" t="str">
        <f t="shared" si="0"/>
        <v>Low Value</v>
      </c>
      <c r="O64" t="str">
        <f t="shared" si="1"/>
        <v>Laptop</v>
      </c>
      <c r="P64" t="str">
        <f ca="1"/>
        <v>Electronics</v>
      </c>
      <c r="Q64">
        <f ca="1"/>
        <v>469</v>
      </c>
      <c r="R64">
        <f>_xlfn.XLOOKUP(A64, Operations!A:A, Operations!B:B, "")</f>
        <v>5</v>
      </c>
    </row>
    <row r="65" spans="1:18" x14ac:dyDescent="0.3">
      <c r="A65" s="3" t="s">
        <v>90</v>
      </c>
      <c r="B65" s="5">
        <v>45849.520115740743</v>
      </c>
      <c r="C65" s="3" t="s">
        <v>38</v>
      </c>
      <c r="D65">
        <v>1005</v>
      </c>
      <c r="E65" s="3" t="s">
        <v>41</v>
      </c>
      <c r="F65">
        <v>8</v>
      </c>
      <c r="G65">
        <v>1707</v>
      </c>
      <c r="H65" t="str">
        <f>_xlfn.XLOOKUP(E65, Products!A:A, Products!B:B, "Not Found")</f>
        <v>Electronics</v>
      </c>
      <c r="I65">
        <f>_xlfn.XLOOKUP(E65, Products!A:A, Products!D:D, 0)</f>
        <v>492</v>
      </c>
      <c r="J65" s="6">
        <f>_xlfn.XLOOKUP(E65, Products!A:A, Products!E:E, 0)</f>
        <v>0.14000000000000001</v>
      </c>
      <c r="K65">
        <f>SUM(F65*G65)</f>
        <v>13656</v>
      </c>
      <c r="L65">
        <f>SUM(K65*(1-J65))</f>
        <v>11744.16</v>
      </c>
      <c r="M65" s="9">
        <f>SUM(K65- (Append1[[#This Row],[Quantity]]*Append1[[#This Row],[UnitCost]]) - Finance!B76)</f>
        <v>9720</v>
      </c>
      <c r="N65" t="str">
        <f t="shared" si="0"/>
        <v>Low Value</v>
      </c>
      <c r="O65" t="str">
        <f t="shared" si="1"/>
        <v>Tablet</v>
      </c>
      <c r="P65" t="str">
        <f ca="1"/>
        <v>Electronics</v>
      </c>
      <c r="Q65">
        <f ca="1"/>
        <v>492</v>
      </c>
      <c r="R65">
        <f>_xlfn.XLOOKUP(A65, Operations!A:A, Operations!B:B, "")</f>
        <v>6</v>
      </c>
    </row>
    <row r="66" spans="1:18" x14ac:dyDescent="0.3">
      <c r="A66" s="3" t="s">
        <v>81</v>
      </c>
      <c r="B66" s="5">
        <v>45850.673425925917</v>
      </c>
      <c r="C66" s="3" t="s">
        <v>37</v>
      </c>
      <c r="D66">
        <v>1006</v>
      </c>
      <c r="E66" s="3" t="s">
        <v>43</v>
      </c>
      <c r="F66">
        <v>8</v>
      </c>
      <c r="G66">
        <v>1987</v>
      </c>
      <c r="H66" t="str">
        <f>_xlfn.XLOOKUP(E66, Products!A:A, Products!B:B, "Not Found")</f>
        <v>Electronics</v>
      </c>
      <c r="I66">
        <f>_xlfn.XLOOKUP(E66, Products!A:A, Products!D:D, 0)</f>
        <v>463</v>
      </c>
      <c r="J66" s="6">
        <f>_xlfn.XLOOKUP(E66, Products!A:A, Products!E:E, 0)</f>
        <v>0.23</v>
      </c>
      <c r="K66">
        <f>SUM(F66*G66)</f>
        <v>15896</v>
      </c>
      <c r="L66">
        <f>SUM(K66*(1-J66))</f>
        <v>12239.92</v>
      </c>
      <c r="M66" s="9">
        <f>SUM(K66- (Append1[[#This Row],[Quantity]]*Append1[[#This Row],[UnitCost]]) - Finance!B67)</f>
        <v>12192</v>
      </c>
      <c r="N66" t="str">
        <f t="shared" si="0"/>
        <v>Low Value</v>
      </c>
      <c r="O66" t="str">
        <f t="shared" si="1"/>
        <v>Monitor</v>
      </c>
      <c r="P66" t="str">
        <f ca="1"/>
        <v>Electronics</v>
      </c>
      <c r="Q66">
        <f ca="1"/>
        <v>463</v>
      </c>
      <c r="R66">
        <f>_xlfn.XLOOKUP(A66, Operations!A:A, Operations!B:B, "")</f>
        <v>3</v>
      </c>
    </row>
    <row r="67" spans="1:18" x14ac:dyDescent="0.3">
      <c r="A67" s="3" t="s">
        <v>84</v>
      </c>
      <c r="B67" s="5">
        <v>45857.334780092591</v>
      </c>
      <c r="C67" s="3" t="s">
        <v>37</v>
      </c>
      <c r="D67">
        <v>1015</v>
      </c>
      <c r="E67" s="3" t="s">
        <v>44</v>
      </c>
      <c r="F67">
        <v>4</v>
      </c>
      <c r="G67">
        <v>1461</v>
      </c>
      <c r="H67" t="str">
        <f>_xlfn.XLOOKUP(E67, Products!A:A, Products!B:B, "Not Found")</f>
        <v>Electronics</v>
      </c>
      <c r="I67">
        <f>_xlfn.XLOOKUP(E67, Products!A:A, Products!D:D, 0)</f>
        <v>97</v>
      </c>
      <c r="J67" s="6">
        <f>_xlfn.XLOOKUP(E67, Products!A:A, Products!E:E, 0)</f>
        <v>0.08</v>
      </c>
      <c r="K67">
        <f>SUM(F67*G67)</f>
        <v>5844</v>
      </c>
      <c r="L67">
        <f>SUM(K67*(1-J67))</f>
        <v>5376.4800000000005</v>
      </c>
      <c r="M67" s="9">
        <f>SUM(K67- (Append1[[#This Row],[Quantity]]*Append1[[#This Row],[UnitCost]]) - Finance!B70)</f>
        <v>5456</v>
      </c>
      <c r="N67" t="str">
        <f t="shared" ref="N67:N91" si="2">IF(K67&gt;50000, "VIP", IF(K67&gt;=20000, "Regular", "Low Value"))</f>
        <v>Low Value</v>
      </c>
      <c r="O67" t="str">
        <f t="shared" ref="O67:O91" si="3">INDEX(E67:E156, MATCH(H67, H67:H156, 0))</f>
        <v>Smartphone</v>
      </c>
      <c r="P67" t="str">
        <f ca="1"/>
        <v>Electronics</v>
      </c>
      <c r="Q67">
        <f ca="1"/>
        <v>97</v>
      </c>
      <c r="R67">
        <f>_xlfn.XLOOKUP(A67, Operations!A:A, Operations!B:B, "")</f>
        <v>8</v>
      </c>
    </row>
    <row r="68" spans="1:18" x14ac:dyDescent="0.3">
      <c r="A68" s="3" t="s">
        <v>102</v>
      </c>
      <c r="B68" s="5">
        <v>45858.359560185178</v>
      </c>
      <c r="C68" s="3" t="s">
        <v>38</v>
      </c>
      <c r="D68">
        <v>1017</v>
      </c>
      <c r="E68" s="3" t="s">
        <v>44</v>
      </c>
      <c r="F68">
        <v>9</v>
      </c>
      <c r="G68">
        <v>472</v>
      </c>
      <c r="H68" t="str">
        <f>_xlfn.XLOOKUP(E68, Products!A:A, Products!B:B, "Not Found")</f>
        <v>Electronics</v>
      </c>
      <c r="I68">
        <f>_xlfn.XLOOKUP(E68, Products!A:A, Products!D:D, 0)</f>
        <v>97</v>
      </c>
      <c r="J68" s="6">
        <f>_xlfn.XLOOKUP(E68, Products!A:A, Products!E:E, 0)</f>
        <v>0.08</v>
      </c>
      <c r="K68">
        <f>SUM(F68*G68)</f>
        <v>4248</v>
      </c>
      <c r="L68">
        <f>SUM(K68*(1-J68))</f>
        <v>3908.1600000000003</v>
      </c>
      <c r="M68" s="9">
        <f>SUM(K68- (Append1[[#This Row],[Quantity]]*Append1[[#This Row],[UnitCost]]) - Finance!B88)</f>
        <v>3375</v>
      </c>
      <c r="N68" t="str">
        <f t="shared" si="2"/>
        <v>Low Value</v>
      </c>
      <c r="O68" t="str">
        <f t="shared" si="3"/>
        <v>Smartphone</v>
      </c>
      <c r="P68" t="str">
        <f ca="1"/>
        <v>Electronics</v>
      </c>
      <c r="Q68">
        <f ca="1"/>
        <v>97</v>
      </c>
      <c r="R68">
        <f>_xlfn.XLOOKUP(A68, Operations!A:A, Operations!B:B, "")</f>
        <v>1</v>
      </c>
    </row>
    <row r="69" spans="1:18" x14ac:dyDescent="0.3">
      <c r="A69" s="3" t="s">
        <v>78</v>
      </c>
      <c r="B69" s="5">
        <v>45859.499537037038</v>
      </c>
      <c r="C69" s="3" t="s">
        <v>37</v>
      </c>
      <c r="D69">
        <v>1001</v>
      </c>
      <c r="E69" s="3" t="s">
        <v>43</v>
      </c>
      <c r="F69">
        <v>1</v>
      </c>
      <c r="G69">
        <v>233</v>
      </c>
      <c r="H69" t="str">
        <f>_xlfn.XLOOKUP(E69, Products!A:A, Products!B:B, "Not Found")</f>
        <v>Electronics</v>
      </c>
      <c r="I69">
        <f>_xlfn.XLOOKUP(E69, Products!A:A, Products!D:D, 0)</f>
        <v>463</v>
      </c>
      <c r="J69" s="6">
        <f>_xlfn.XLOOKUP(E69, Products!A:A, Products!E:E, 0)</f>
        <v>0.23</v>
      </c>
      <c r="K69">
        <f>SUM(F69*G69)</f>
        <v>233</v>
      </c>
      <c r="L69">
        <f>SUM(K69*(1-J69))</f>
        <v>179.41</v>
      </c>
      <c r="M69" s="9">
        <f>SUM(K69- (Append1[[#This Row],[Quantity]]*Append1[[#This Row],[UnitCost]]) - Finance!B64)</f>
        <v>-230</v>
      </c>
      <c r="N69" t="str">
        <f t="shared" si="2"/>
        <v>Low Value</v>
      </c>
      <c r="O69" t="str">
        <f t="shared" si="3"/>
        <v>Monitor</v>
      </c>
      <c r="P69" t="str">
        <f ca="1"/>
        <v>Electronics</v>
      </c>
      <c r="Q69">
        <f ca="1"/>
        <v>463</v>
      </c>
      <c r="R69">
        <f>_xlfn.XLOOKUP(A69, Operations!A:A, Operations!B:B, "")</f>
        <v>4</v>
      </c>
    </row>
    <row r="70" spans="1:18" x14ac:dyDescent="0.3">
      <c r="A70" s="3" t="s">
        <v>104</v>
      </c>
      <c r="B70" s="5">
        <v>45861.291134259263</v>
      </c>
      <c r="C70" s="3" t="s">
        <v>40</v>
      </c>
      <c r="D70">
        <v>1018</v>
      </c>
      <c r="E70" s="3" t="s">
        <v>45</v>
      </c>
      <c r="F70">
        <v>4</v>
      </c>
      <c r="G70">
        <v>1817</v>
      </c>
      <c r="H70" t="str">
        <f>_xlfn.XLOOKUP(E70, Products!A:A, Products!B:B, "Not Found")</f>
        <v>Electronics</v>
      </c>
      <c r="I70">
        <f>_xlfn.XLOOKUP(E70, Products!A:A, Products!D:D, 0)</f>
        <v>469</v>
      </c>
      <c r="J70" s="6">
        <f>_xlfn.XLOOKUP(E70, Products!A:A, Products!E:E, 0)</f>
        <v>0.22</v>
      </c>
      <c r="K70">
        <f>SUM(F70*G70)</f>
        <v>7268</v>
      </c>
      <c r="L70">
        <f>SUM(K70*(1-J70))</f>
        <v>5669.04</v>
      </c>
      <c r="M70" s="9">
        <f>SUM(K70- (Append1[[#This Row],[Quantity]]*Append1[[#This Row],[UnitCost]]) - Finance!B90)</f>
        <v>5392</v>
      </c>
      <c r="N70" t="str">
        <f t="shared" si="2"/>
        <v>Low Value</v>
      </c>
      <c r="O70" t="str">
        <f t="shared" si="3"/>
        <v>Laptop</v>
      </c>
      <c r="P70" t="str">
        <f ca="1"/>
        <v>Electronics</v>
      </c>
      <c r="Q70">
        <f ca="1"/>
        <v>469</v>
      </c>
      <c r="R70">
        <f>_xlfn.XLOOKUP(A70, Operations!A:A, Operations!B:B, "")</f>
        <v>3</v>
      </c>
    </row>
    <row r="71" spans="1:18" x14ac:dyDescent="0.3">
      <c r="A71" s="3" t="s">
        <v>103</v>
      </c>
      <c r="B71" s="5">
        <v>45862.545439814807</v>
      </c>
      <c r="C71" s="3" t="s">
        <v>39</v>
      </c>
      <c r="D71">
        <v>1002</v>
      </c>
      <c r="E71" s="3" t="s">
        <v>45</v>
      </c>
      <c r="F71">
        <v>9</v>
      </c>
      <c r="G71">
        <v>132</v>
      </c>
      <c r="H71" t="str">
        <f>_xlfn.XLOOKUP(E71, Products!A:A, Products!B:B, "Not Found")</f>
        <v>Electronics</v>
      </c>
      <c r="I71">
        <f>_xlfn.XLOOKUP(E71, Products!A:A, Products!D:D, 0)</f>
        <v>469</v>
      </c>
      <c r="J71" s="6">
        <f>_xlfn.XLOOKUP(E71, Products!A:A, Products!E:E, 0)</f>
        <v>0.22</v>
      </c>
      <c r="K71">
        <f>SUM(F71*G71)</f>
        <v>1188</v>
      </c>
      <c r="L71">
        <f>SUM(K71*(1-J71))</f>
        <v>926.64</v>
      </c>
      <c r="M71" s="9">
        <f>SUM(K71- (Append1[[#This Row],[Quantity]]*Append1[[#This Row],[UnitCost]]) - Finance!B89)</f>
        <v>-3033</v>
      </c>
      <c r="N71" t="str">
        <f t="shared" si="2"/>
        <v>Low Value</v>
      </c>
      <c r="O71" t="str">
        <f t="shared" si="3"/>
        <v>Laptop</v>
      </c>
      <c r="P71" t="str">
        <f ca="1"/>
        <v>Electronics</v>
      </c>
      <c r="Q71">
        <f ca="1"/>
        <v>469</v>
      </c>
      <c r="R71">
        <f>_xlfn.XLOOKUP(A71, Operations!A:A, Operations!B:B, "")</f>
        <v>7</v>
      </c>
    </row>
    <row r="72" spans="1:18" x14ac:dyDescent="0.3">
      <c r="A72" s="3" t="s">
        <v>95</v>
      </c>
      <c r="B72" s="5">
        <v>45867.799027777779</v>
      </c>
      <c r="C72" s="3" t="s">
        <v>38</v>
      </c>
      <c r="D72">
        <v>1017</v>
      </c>
      <c r="E72" s="3" t="s">
        <v>45</v>
      </c>
      <c r="F72">
        <v>8</v>
      </c>
      <c r="G72">
        <v>1150</v>
      </c>
      <c r="H72" t="str">
        <f>_xlfn.XLOOKUP(E72, Products!A:A, Products!B:B, "Not Found")</f>
        <v>Electronics</v>
      </c>
      <c r="I72">
        <f>_xlfn.XLOOKUP(E72, Products!A:A, Products!D:D, 0)</f>
        <v>469</v>
      </c>
      <c r="J72" s="6">
        <f>_xlfn.XLOOKUP(E72, Products!A:A, Products!E:E, 0)</f>
        <v>0.22</v>
      </c>
      <c r="K72">
        <f>SUM(F72*G72)</f>
        <v>9200</v>
      </c>
      <c r="L72">
        <f>SUM(K72*(1-J72))</f>
        <v>7176</v>
      </c>
      <c r="M72" s="9">
        <f>SUM(K72- (Append1[[#This Row],[Quantity]]*Append1[[#This Row],[UnitCost]]) - Finance!B81)</f>
        <v>5448</v>
      </c>
      <c r="N72" t="str">
        <f t="shared" si="2"/>
        <v>Low Value</v>
      </c>
      <c r="O72" t="str">
        <f t="shared" si="3"/>
        <v>Laptop</v>
      </c>
      <c r="P72" t="str">
        <f ca="1"/>
        <v>Electronics</v>
      </c>
      <c r="Q72">
        <f ca="1"/>
        <v>469</v>
      </c>
      <c r="R72">
        <f>_xlfn.XLOOKUP(A72, Operations!A:A, Operations!B:B, "")</f>
        <v>3</v>
      </c>
    </row>
    <row r="73" spans="1:18" x14ac:dyDescent="0.3">
      <c r="A73" s="3" t="s">
        <v>88</v>
      </c>
      <c r="B73" s="5">
        <v>45868.096215277779</v>
      </c>
      <c r="C73" s="3" t="s">
        <v>38</v>
      </c>
      <c r="D73">
        <v>1011</v>
      </c>
      <c r="E73" s="3" t="s">
        <v>41</v>
      </c>
      <c r="F73">
        <v>3</v>
      </c>
      <c r="G73">
        <v>1634</v>
      </c>
      <c r="H73" t="str">
        <f>_xlfn.XLOOKUP(E73, Products!A:A, Products!B:B, "Not Found")</f>
        <v>Electronics</v>
      </c>
      <c r="I73">
        <f>_xlfn.XLOOKUP(E73, Products!A:A, Products!D:D, 0)</f>
        <v>492</v>
      </c>
      <c r="J73" s="6">
        <f>_xlfn.XLOOKUP(E73, Products!A:A, Products!E:E, 0)</f>
        <v>0.14000000000000001</v>
      </c>
      <c r="K73">
        <f>SUM(F73*G73)</f>
        <v>4902</v>
      </c>
      <c r="L73">
        <f>SUM(K73*(1-J73))</f>
        <v>4215.72</v>
      </c>
      <c r="M73" s="9">
        <f>SUM(K73- (Append1[[#This Row],[Quantity]]*Append1[[#This Row],[UnitCost]]) - Finance!B74)</f>
        <v>3426</v>
      </c>
      <c r="N73" t="str">
        <f t="shared" si="2"/>
        <v>Low Value</v>
      </c>
      <c r="O73" t="str">
        <f t="shared" si="3"/>
        <v>Tablet</v>
      </c>
      <c r="P73" t="str">
        <f ca="1"/>
        <v>Electronics</v>
      </c>
      <c r="Q73">
        <f ca="1"/>
        <v>492</v>
      </c>
      <c r="R73">
        <f>_xlfn.XLOOKUP(A73, Operations!A:A, Operations!B:B, "")</f>
        <v>7</v>
      </c>
    </row>
    <row r="74" spans="1:18" x14ac:dyDescent="0.3">
      <c r="A74" s="3" t="s">
        <v>91</v>
      </c>
      <c r="B74" s="5">
        <v>45873.09915509259</v>
      </c>
      <c r="C74" s="3" t="s">
        <v>40</v>
      </c>
      <c r="D74">
        <v>1004</v>
      </c>
      <c r="E74" s="3" t="s">
        <v>45</v>
      </c>
      <c r="F74">
        <v>4</v>
      </c>
      <c r="G74">
        <v>960</v>
      </c>
      <c r="H74" t="str">
        <f>_xlfn.XLOOKUP(E74, Products!A:A, Products!B:B, "Not Found")</f>
        <v>Electronics</v>
      </c>
      <c r="I74">
        <f>_xlfn.XLOOKUP(E74, Products!A:A, Products!D:D, 0)</f>
        <v>469</v>
      </c>
      <c r="J74" s="6">
        <f>_xlfn.XLOOKUP(E74, Products!A:A, Products!E:E, 0)</f>
        <v>0.22</v>
      </c>
      <c r="K74">
        <f>SUM(F74*G74)</f>
        <v>3840</v>
      </c>
      <c r="L74">
        <f>SUM(K74*(1-J74))</f>
        <v>2995.2000000000003</v>
      </c>
      <c r="M74" s="9">
        <f>SUM(K74- (Append1[[#This Row],[Quantity]]*Append1[[#This Row],[UnitCost]]) - Finance!B77)</f>
        <v>1964</v>
      </c>
      <c r="N74" t="str">
        <f t="shared" si="2"/>
        <v>Low Value</v>
      </c>
      <c r="O74" t="str">
        <f t="shared" si="3"/>
        <v>Laptop</v>
      </c>
      <c r="P74" t="str">
        <f ca="1"/>
        <v>Electronics</v>
      </c>
      <c r="Q74">
        <f ca="1"/>
        <v>469</v>
      </c>
      <c r="R74">
        <f>_xlfn.XLOOKUP(A74, Operations!A:A, Operations!B:B, "")</f>
        <v>7</v>
      </c>
    </row>
    <row r="75" spans="1:18" x14ac:dyDescent="0.3">
      <c r="A75" s="3" t="s">
        <v>99</v>
      </c>
      <c r="B75" s="5">
        <v>45874.122870370367</v>
      </c>
      <c r="C75" s="3" t="s">
        <v>39</v>
      </c>
      <c r="D75">
        <v>1001</v>
      </c>
      <c r="E75" s="3" t="s">
        <v>45</v>
      </c>
      <c r="F75">
        <v>6</v>
      </c>
      <c r="G75">
        <v>272</v>
      </c>
      <c r="H75" t="str">
        <f>_xlfn.XLOOKUP(E75, Products!A:A, Products!B:B, "Not Found")</f>
        <v>Electronics</v>
      </c>
      <c r="I75">
        <f>_xlfn.XLOOKUP(E75, Products!A:A, Products!D:D, 0)</f>
        <v>469</v>
      </c>
      <c r="J75" s="6">
        <f>_xlfn.XLOOKUP(E75, Products!A:A, Products!E:E, 0)</f>
        <v>0.22</v>
      </c>
      <c r="K75">
        <f>SUM(F75*G75)</f>
        <v>1632</v>
      </c>
      <c r="L75">
        <f>SUM(K75*(1-J75))</f>
        <v>1272.96</v>
      </c>
      <c r="M75" s="9">
        <f>SUM(K75- (Append1[[#This Row],[Quantity]]*Append1[[#This Row],[UnitCost]]) - Finance!B85)</f>
        <v>-1182</v>
      </c>
      <c r="N75" t="str">
        <f t="shared" si="2"/>
        <v>Low Value</v>
      </c>
      <c r="O75" t="str">
        <f t="shared" si="3"/>
        <v>Laptop</v>
      </c>
      <c r="P75" t="str">
        <f ca="1"/>
        <v>Electronics</v>
      </c>
      <c r="Q75">
        <f ca="1"/>
        <v>469</v>
      </c>
      <c r="R75">
        <f>_xlfn.XLOOKUP(A75, Operations!A:A, Operations!B:B, "")</f>
        <v>2</v>
      </c>
    </row>
    <row r="76" spans="1:18" x14ac:dyDescent="0.3">
      <c r="A76" s="3" t="s">
        <v>100</v>
      </c>
      <c r="B76" s="5">
        <v>45875.450671296298</v>
      </c>
      <c r="C76" s="3" t="s">
        <v>37</v>
      </c>
      <c r="D76">
        <v>1014</v>
      </c>
      <c r="E76" s="3" t="s">
        <v>42</v>
      </c>
      <c r="F76">
        <v>9</v>
      </c>
      <c r="G76">
        <v>1794</v>
      </c>
      <c r="H76" t="str">
        <f>_xlfn.XLOOKUP(E76, Products!A:A, Products!B:B, "Not Found")</f>
        <v>Accessories</v>
      </c>
      <c r="I76">
        <f>_xlfn.XLOOKUP(E76, Products!A:A, Products!D:D, 0)</f>
        <v>323</v>
      </c>
      <c r="J76" s="6">
        <f>_xlfn.XLOOKUP(E76, Products!A:A, Products!E:E, 0)</f>
        <v>0.1</v>
      </c>
      <c r="K76">
        <f>SUM(F76*G76)</f>
        <v>16146</v>
      </c>
      <c r="L76">
        <f>SUM(K76*(1-J76))</f>
        <v>14531.4</v>
      </c>
      <c r="M76" s="9">
        <f>SUM(K76- (Append1[[#This Row],[Quantity]]*Append1[[#This Row],[UnitCost]]) - Finance!B86)</f>
        <v>13239</v>
      </c>
      <c r="N76" t="str">
        <f t="shared" si="2"/>
        <v>Low Value</v>
      </c>
      <c r="O76" t="str">
        <f t="shared" si="3"/>
        <v>Headphones</v>
      </c>
      <c r="P76" t="str">
        <f ca="1"/>
        <v>Accessories</v>
      </c>
      <c r="Q76">
        <f ca="1"/>
        <v>323</v>
      </c>
      <c r="R76">
        <f>_xlfn.XLOOKUP(A76, Operations!A:A, Operations!B:B, "")</f>
        <v>6</v>
      </c>
    </row>
    <row r="77" spans="1:18" x14ac:dyDescent="0.3">
      <c r="A77" s="3" t="s">
        <v>96</v>
      </c>
      <c r="B77" s="5">
        <v>45880.701817129629</v>
      </c>
      <c r="C77" s="3" t="s">
        <v>40</v>
      </c>
      <c r="D77">
        <v>1019</v>
      </c>
      <c r="E77" s="3" t="s">
        <v>41</v>
      </c>
      <c r="F77">
        <v>2</v>
      </c>
      <c r="G77">
        <v>508</v>
      </c>
      <c r="H77" t="str">
        <f>_xlfn.XLOOKUP(E77, Products!A:A, Products!B:B, "Not Found")</f>
        <v>Electronics</v>
      </c>
      <c r="I77">
        <f>_xlfn.XLOOKUP(E77, Products!A:A, Products!D:D, 0)</f>
        <v>492</v>
      </c>
      <c r="J77" s="6">
        <f>_xlfn.XLOOKUP(E77, Products!A:A, Products!E:E, 0)</f>
        <v>0.14000000000000001</v>
      </c>
      <c r="K77">
        <f>SUM(F77*G77)</f>
        <v>1016</v>
      </c>
      <c r="L77">
        <f>SUM(K77*(1-J77))</f>
        <v>873.76</v>
      </c>
      <c r="M77" s="9">
        <f>SUM(K77- (Append1[[#This Row],[Quantity]]*Append1[[#This Row],[UnitCost]]) - Finance!B82)</f>
        <v>32</v>
      </c>
      <c r="N77" t="str">
        <f t="shared" si="2"/>
        <v>Low Value</v>
      </c>
      <c r="O77" t="str">
        <f t="shared" si="3"/>
        <v>Tablet</v>
      </c>
      <c r="P77" t="str">
        <f ca="1"/>
        <v>Electronics</v>
      </c>
      <c r="Q77">
        <f ca="1"/>
        <v>492</v>
      </c>
      <c r="R77">
        <f>_xlfn.XLOOKUP(A77, Operations!A:A, Operations!B:B, "")</f>
        <v>4</v>
      </c>
    </row>
    <row r="78" spans="1:18" x14ac:dyDescent="0.3">
      <c r="A78" s="3" t="s">
        <v>83</v>
      </c>
      <c r="B78" s="5">
        <v>45886.32172453704</v>
      </c>
      <c r="C78" s="3" t="s">
        <v>39</v>
      </c>
      <c r="D78">
        <v>1006</v>
      </c>
      <c r="E78" s="3" t="s">
        <v>42</v>
      </c>
      <c r="F78">
        <v>2</v>
      </c>
      <c r="G78">
        <v>1742</v>
      </c>
      <c r="H78" t="str">
        <f>_xlfn.XLOOKUP(E78, Products!A:A, Products!B:B, "Not Found")</f>
        <v>Accessories</v>
      </c>
      <c r="I78">
        <f>_xlfn.XLOOKUP(E78, Products!A:A, Products!D:D, 0)</f>
        <v>323</v>
      </c>
      <c r="J78" s="6">
        <f>_xlfn.XLOOKUP(E78, Products!A:A, Products!E:E, 0)</f>
        <v>0.1</v>
      </c>
      <c r="K78">
        <f>SUM(F78*G78)</f>
        <v>3484</v>
      </c>
      <c r="L78">
        <f>SUM(K78*(1-J78))</f>
        <v>3135.6</v>
      </c>
      <c r="M78" s="9">
        <f>SUM(K78- (Append1[[#This Row],[Quantity]]*Append1[[#This Row],[UnitCost]]) - Finance!B69)</f>
        <v>2838</v>
      </c>
      <c r="N78" t="str">
        <f t="shared" si="2"/>
        <v>Low Value</v>
      </c>
      <c r="O78" t="str">
        <f t="shared" si="3"/>
        <v>Headphones</v>
      </c>
      <c r="P78" t="str">
        <f ca="1"/>
        <v>Accessories</v>
      </c>
      <c r="Q78">
        <f ca="1"/>
        <v>323</v>
      </c>
      <c r="R78">
        <f>_xlfn.XLOOKUP(A78, Operations!A:A, Operations!B:B, "")</f>
        <v>4</v>
      </c>
    </row>
    <row r="79" spans="1:18" x14ac:dyDescent="0.3">
      <c r="A79" s="3" t="s">
        <v>105</v>
      </c>
      <c r="B79" s="5">
        <v>45889.657800925917</v>
      </c>
      <c r="C79" s="3" t="s">
        <v>40</v>
      </c>
      <c r="D79">
        <v>1019</v>
      </c>
      <c r="E79" s="3" t="s">
        <v>43</v>
      </c>
      <c r="F79">
        <v>5</v>
      </c>
      <c r="G79">
        <v>698</v>
      </c>
      <c r="H79" t="str">
        <f>_xlfn.XLOOKUP(E79, Products!A:A, Products!B:B, "Not Found")</f>
        <v>Electronics</v>
      </c>
      <c r="I79">
        <f>_xlfn.XLOOKUP(E79, Products!A:A, Products!D:D, 0)</f>
        <v>463</v>
      </c>
      <c r="J79" s="6">
        <f>_xlfn.XLOOKUP(E79, Products!A:A, Products!E:E, 0)</f>
        <v>0.23</v>
      </c>
      <c r="K79">
        <f>SUM(F79*G79)</f>
        <v>3490</v>
      </c>
      <c r="L79">
        <f>SUM(K79*(1-J79))</f>
        <v>2687.3</v>
      </c>
      <c r="M79" s="9">
        <f>SUM(K79- (Append1[[#This Row],[Quantity]]*Append1[[#This Row],[UnitCost]]) - Finance!B91)</f>
        <v>1175</v>
      </c>
      <c r="N79" t="str">
        <f t="shared" si="2"/>
        <v>Low Value</v>
      </c>
      <c r="O79" t="str">
        <f t="shared" si="3"/>
        <v>Monitor</v>
      </c>
      <c r="P79" t="str">
        <f ca="1"/>
        <v>Electronics</v>
      </c>
      <c r="Q79">
        <f ca="1"/>
        <v>463</v>
      </c>
      <c r="R79">
        <f>_xlfn.XLOOKUP(A79, Operations!A:A, Operations!B:B, "")</f>
        <v>4</v>
      </c>
    </row>
    <row r="80" spans="1:18" x14ac:dyDescent="0.3">
      <c r="A80" s="3" t="s">
        <v>82</v>
      </c>
      <c r="B80" s="5">
        <v>45891.79111111111</v>
      </c>
      <c r="C80" s="3" t="s">
        <v>40</v>
      </c>
      <c r="D80">
        <v>1008</v>
      </c>
      <c r="E80" s="3" t="s">
        <v>45</v>
      </c>
      <c r="F80">
        <v>3</v>
      </c>
      <c r="G80">
        <v>589</v>
      </c>
      <c r="H80" t="str">
        <f>_xlfn.XLOOKUP(E80, Products!A:A, Products!B:B, "Not Found")</f>
        <v>Electronics</v>
      </c>
      <c r="I80">
        <f>_xlfn.XLOOKUP(E80, Products!A:A, Products!D:D, 0)</f>
        <v>469</v>
      </c>
      <c r="J80" s="6">
        <f>_xlfn.XLOOKUP(E80, Products!A:A, Products!E:E, 0)</f>
        <v>0.22</v>
      </c>
      <c r="K80">
        <f>SUM(F80*G80)</f>
        <v>1767</v>
      </c>
      <c r="L80">
        <f>SUM(K80*(1-J80))</f>
        <v>1378.26</v>
      </c>
      <c r="M80" s="9">
        <f>SUM(K80- (Append1[[#This Row],[Quantity]]*Append1[[#This Row],[UnitCost]]) - Finance!B68)</f>
        <v>360</v>
      </c>
      <c r="N80" t="str">
        <f t="shared" si="2"/>
        <v>Low Value</v>
      </c>
      <c r="O80" t="str">
        <f t="shared" si="3"/>
        <v>Laptop</v>
      </c>
      <c r="P80" t="str">
        <f ca="1"/>
        <v>Electronics</v>
      </c>
      <c r="Q80">
        <f ca="1"/>
        <v>469</v>
      </c>
      <c r="R80">
        <f>_xlfn.XLOOKUP(A80, Operations!A:A, Operations!B:B, "")</f>
        <v>5</v>
      </c>
    </row>
    <row r="81" spans="1:18" x14ac:dyDescent="0.3">
      <c r="A81" s="3" t="s">
        <v>79</v>
      </c>
      <c r="B81" s="5">
        <v>45894.505104166667</v>
      </c>
      <c r="C81" s="3" t="s">
        <v>38</v>
      </c>
      <c r="D81">
        <v>1010</v>
      </c>
      <c r="E81" s="3" t="s">
        <v>44</v>
      </c>
      <c r="F81">
        <v>9</v>
      </c>
      <c r="G81">
        <v>312</v>
      </c>
      <c r="H81" t="str">
        <f>_xlfn.XLOOKUP(E81, Products!A:A, Products!B:B, "Not Found")</f>
        <v>Electronics</v>
      </c>
      <c r="I81">
        <f>_xlfn.XLOOKUP(E81, Products!A:A, Products!D:D, 0)</f>
        <v>97</v>
      </c>
      <c r="J81" s="6">
        <f>_xlfn.XLOOKUP(E81, Products!A:A, Products!E:E, 0)</f>
        <v>0.08</v>
      </c>
      <c r="K81">
        <f>SUM(F81*G81)</f>
        <v>2808</v>
      </c>
      <c r="L81">
        <f>SUM(K81*(1-J81))</f>
        <v>2583.36</v>
      </c>
      <c r="M81" s="9">
        <f>SUM(K81- (Append1[[#This Row],[Quantity]]*Append1[[#This Row],[UnitCost]]) - Finance!B65)</f>
        <v>1935</v>
      </c>
      <c r="N81" t="str">
        <f t="shared" si="2"/>
        <v>Low Value</v>
      </c>
      <c r="O81" t="str">
        <f t="shared" si="3"/>
        <v>Smartphone</v>
      </c>
      <c r="P81" t="str">
        <f ca="1"/>
        <v>Electronics</v>
      </c>
      <c r="Q81">
        <f ca="1"/>
        <v>97</v>
      </c>
      <c r="R81">
        <f>_xlfn.XLOOKUP(A81, Operations!A:A, Operations!B:B, "")</f>
        <v>6</v>
      </c>
    </row>
    <row r="82" spans="1:18" x14ac:dyDescent="0.3">
      <c r="A82" s="3" t="s">
        <v>101</v>
      </c>
      <c r="B82" s="5">
        <v>45895.845381944448</v>
      </c>
      <c r="C82" s="3" t="s">
        <v>37</v>
      </c>
      <c r="D82">
        <v>1006</v>
      </c>
      <c r="E82" s="3" t="s">
        <v>43</v>
      </c>
      <c r="F82">
        <v>5</v>
      </c>
      <c r="G82">
        <v>757</v>
      </c>
      <c r="H82" t="str">
        <f>_xlfn.XLOOKUP(E82, Products!A:A, Products!B:B, "Not Found")</f>
        <v>Electronics</v>
      </c>
      <c r="I82">
        <f>_xlfn.XLOOKUP(E82, Products!A:A, Products!D:D, 0)</f>
        <v>463</v>
      </c>
      <c r="J82" s="6">
        <f>_xlfn.XLOOKUP(E82, Products!A:A, Products!E:E, 0)</f>
        <v>0.23</v>
      </c>
      <c r="K82">
        <f>SUM(F82*G82)</f>
        <v>3785</v>
      </c>
      <c r="L82">
        <f>SUM(K82*(1-J82))</f>
        <v>2914.4500000000003</v>
      </c>
      <c r="M82" s="9">
        <f>SUM(K82- (Append1[[#This Row],[Quantity]]*Append1[[#This Row],[UnitCost]]) - Finance!B87)</f>
        <v>1470</v>
      </c>
      <c r="N82" t="str">
        <f t="shared" si="2"/>
        <v>Low Value</v>
      </c>
      <c r="O82" t="str">
        <f t="shared" si="3"/>
        <v>Monitor</v>
      </c>
      <c r="P82" t="str">
        <f ca="1"/>
        <v>Electronics</v>
      </c>
      <c r="Q82">
        <f ca="1"/>
        <v>463</v>
      </c>
      <c r="R82">
        <f>_xlfn.XLOOKUP(A82, Operations!A:A, Operations!B:B, "")</f>
        <v>4</v>
      </c>
    </row>
    <row r="83" spans="1:18" x14ac:dyDescent="0.3">
      <c r="A83" s="3" t="s">
        <v>87</v>
      </c>
      <c r="B83" s="5">
        <v>45897.155312499999</v>
      </c>
      <c r="C83" s="3" t="s">
        <v>40</v>
      </c>
      <c r="D83">
        <v>1002</v>
      </c>
      <c r="E83" s="3" t="s">
        <v>42</v>
      </c>
      <c r="F83">
        <v>2</v>
      </c>
      <c r="G83">
        <v>1265</v>
      </c>
      <c r="H83" t="str">
        <f>_xlfn.XLOOKUP(E83, Products!A:A, Products!B:B, "Not Found")</f>
        <v>Accessories</v>
      </c>
      <c r="I83">
        <f>_xlfn.XLOOKUP(E83, Products!A:A, Products!D:D, 0)</f>
        <v>323</v>
      </c>
      <c r="J83" s="6">
        <f>_xlfn.XLOOKUP(E83, Products!A:A, Products!E:E, 0)</f>
        <v>0.1</v>
      </c>
      <c r="K83">
        <f>SUM(F83*G83)</f>
        <v>2530</v>
      </c>
      <c r="L83">
        <f>SUM(K83*(1-J83))</f>
        <v>2277</v>
      </c>
      <c r="M83" s="9">
        <f>SUM(K83- (Append1[[#This Row],[Quantity]]*Append1[[#This Row],[UnitCost]]) - Finance!B73)</f>
        <v>1884</v>
      </c>
      <c r="N83" t="str">
        <f t="shared" si="2"/>
        <v>Low Value</v>
      </c>
      <c r="O83" t="str">
        <f t="shared" si="3"/>
        <v>Headphones</v>
      </c>
      <c r="P83" t="str">
        <f ca="1"/>
        <v>Accessories</v>
      </c>
      <c r="Q83">
        <f ca="1"/>
        <v>323</v>
      </c>
      <c r="R83">
        <f>_xlfn.XLOOKUP(A83, Operations!A:A, Operations!B:B, "")</f>
        <v>6</v>
      </c>
    </row>
    <row r="84" spans="1:18" x14ac:dyDescent="0.3">
      <c r="A84" s="3" t="s">
        <v>106</v>
      </c>
      <c r="B84" s="5">
        <v>45898.258506944447</v>
      </c>
      <c r="C84" s="3" t="s">
        <v>38</v>
      </c>
      <c r="D84">
        <v>1003</v>
      </c>
      <c r="E84" s="3" t="s">
        <v>43</v>
      </c>
      <c r="F84">
        <v>3</v>
      </c>
      <c r="G84">
        <v>651</v>
      </c>
      <c r="H84" t="str">
        <f>_xlfn.XLOOKUP(E84, Products!A:A, Products!B:B, "Not Found")</f>
        <v>Electronics</v>
      </c>
      <c r="I84">
        <f>_xlfn.XLOOKUP(E84, Products!A:A, Products!D:D, 0)</f>
        <v>463</v>
      </c>
      <c r="J84" s="6">
        <f>_xlfn.XLOOKUP(E84, Products!A:A, Products!E:E, 0)</f>
        <v>0.23</v>
      </c>
      <c r="K84">
        <f>SUM(F84*G84)</f>
        <v>1953</v>
      </c>
      <c r="L84">
        <f>SUM(K84*(1-J84))</f>
        <v>1503.81</v>
      </c>
      <c r="M84" s="9">
        <f>SUM(K84- (Append1[[#This Row],[Quantity]]*Append1[[#This Row],[UnitCost]]) - Finance!B92)</f>
        <v>564</v>
      </c>
      <c r="N84" t="str">
        <f t="shared" si="2"/>
        <v>Low Value</v>
      </c>
      <c r="O84" t="str">
        <f t="shared" si="3"/>
        <v>Monitor</v>
      </c>
      <c r="P84" t="str">
        <f ca="1"/>
        <v>Electronics</v>
      </c>
      <c r="Q84">
        <f ca="1"/>
        <v>463</v>
      </c>
      <c r="R84">
        <f>_xlfn.XLOOKUP(A84, Operations!A:A, Operations!B:B, "")</f>
        <v>5</v>
      </c>
    </row>
    <row r="85" spans="1:18" x14ac:dyDescent="0.3">
      <c r="A85" s="3" t="s">
        <v>93</v>
      </c>
      <c r="B85" s="5">
        <v>45906.44259259259</v>
      </c>
      <c r="C85" s="3" t="s">
        <v>37</v>
      </c>
      <c r="D85">
        <v>1017</v>
      </c>
      <c r="E85" s="3" t="s">
        <v>46</v>
      </c>
      <c r="F85">
        <v>2</v>
      </c>
      <c r="G85">
        <v>300</v>
      </c>
      <c r="H85" t="str">
        <f>_xlfn.XLOOKUP(E85, Products!A:A, Products!B:B, "Not Found")</f>
        <v>Office</v>
      </c>
      <c r="I85">
        <f>_xlfn.XLOOKUP(E85, Products!A:A, Products!D:D, 0)</f>
        <v>136</v>
      </c>
      <c r="J85" s="6">
        <f>_xlfn.XLOOKUP(E85, Products!A:A, Products!E:E, 0)</f>
        <v>0.1</v>
      </c>
      <c r="K85">
        <f>SUM(F85*G85)</f>
        <v>600</v>
      </c>
      <c r="L85">
        <f>SUM(K85*(1-J85))</f>
        <v>540</v>
      </c>
      <c r="M85" s="9">
        <f>SUM(K85- (Append1[[#This Row],[Quantity]]*Append1[[#This Row],[UnitCost]]) - Finance!B79)</f>
        <v>328</v>
      </c>
      <c r="N85" t="str">
        <f t="shared" si="2"/>
        <v>Low Value</v>
      </c>
      <c r="O85" t="str">
        <f t="shared" si="3"/>
        <v>Printer</v>
      </c>
      <c r="P85" t="str">
        <f ca="1"/>
        <v>Office</v>
      </c>
      <c r="Q85">
        <f ca="1"/>
        <v>136</v>
      </c>
      <c r="R85">
        <f>_xlfn.XLOOKUP(A85, Operations!A:A, Operations!B:B, "")</f>
        <v>8</v>
      </c>
    </row>
    <row r="86" spans="1:18" x14ac:dyDescent="0.3">
      <c r="A86" s="3" t="s">
        <v>94</v>
      </c>
      <c r="B86" s="5">
        <v>45911.789861111109</v>
      </c>
      <c r="C86" s="3" t="s">
        <v>38</v>
      </c>
      <c r="D86">
        <v>1001</v>
      </c>
      <c r="E86" s="3" t="s">
        <v>45</v>
      </c>
      <c r="F86">
        <v>7</v>
      </c>
      <c r="G86">
        <v>608</v>
      </c>
      <c r="H86" t="str">
        <f>_xlfn.XLOOKUP(E86, Products!A:A, Products!B:B, "Not Found")</f>
        <v>Electronics</v>
      </c>
      <c r="I86">
        <f>_xlfn.XLOOKUP(E86, Products!A:A, Products!D:D, 0)</f>
        <v>469</v>
      </c>
      <c r="J86" s="6">
        <f>_xlfn.XLOOKUP(E86, Products!A:A, Products!E:E, 0)</f>
        <v>0.22</v>
      </c>
      <c r="K86">
        <f>SUM(F86*G86)</f>
        <v>4256</v>
      </c>
      <c r="L86">
        <f>SUM(K86*(1-J86))</f>
        <v>3319.6800000000003</v>
      </c>
      <c r="M86" s="9">
        <f>SUM(K86- (Append1[[#This Row],[Quantity]]*Append1[[#This Row],[UnitCost]]) - Finance!B80)</f>
        <v>973</v>
      </c>
      <c r="N86" t="str">
        <f t="shared" si="2"/>
        <v>Low Value</v>
      </c>
      <c r="O86" t="str">
        <f t="shared" si="3"/>
        <v>Laptop</v>
      </c>
      <c r="P86" t="str">
        <f ca="1"/>
        <v>Electronics</v>
      </c>
      <c r="Q86">
        <f ca="1"/>
        <v>469</v>
      </c>
      <c r="R86">
        <f>_xlfn.XLOOKUP(A86, Operations!A:A, Operations!B:B, "")</f>
        <v>4</v>
      </c>
    </row>
    <row r="87" spans="1:18" x14ac:dyDescent="0.3">
      <c r="A87" s="3" t="s">
        <v>85</v>
      </c>
      <c r="B87" s="5">
        <v>45914.314293981479</v>
      </c>
      <c r="C87" s="3" t="s">
        <v>37</v>
      </c>
      <c r="D87">
        <v>1002</v>
      </c>
      <c r="E87" s="3" t="s">
        <v>45</v>
      </c>
      <c r="F87">
        <v>3</v>
      </c>
      <c r="G87">
        <v>1133</v>
      </c>
      <c r="H87" t="str">
        <f>_xlfn.XLOOKUP(E87, Products!A:A, Products!B:B, "Not Found")</f>
        <v>Electronics</v>
      </c>
      <c r="I87">
        <f>_xlfn.XLOOKUP(E87, Products!A:A, Products!D:D, 0)</f>
        <v>469</v>
      </c>
      <c r="J87" s="6">
        <f>_xlfn.XLOOKUP(E87, Products!A:A, Products!E:E, 0)</f>
        <v>0.22</v>
      </c>
      <c r="K87">
        <f>SUM(F87*G87)</f>
        <v>3399</v>
      </c>
      <c r="L87">
        <f>SUM(K87*(1-J87))</f>
        <v>2651.2200000000003</v>
      </c>
      <c r="M87" s="9">
        <f>SUM(K87- (Append1[[#This Row],[Quantity]]*Append1[[#This Row],[UnitCost]]) - Finance!B71)</f>
        <v>1992</v>
      </c>
      <c r="N87" t="str">
        <f t="shared" si="2"/>
        <v>Low Value</v>
      </c>
      <c r="O87" t="str">
        <f t="shared" si="3"/>
        <v>Laptop</v>
      </c>
      <c r="P87" t="str">
        <f ca="1"/>
        <v>Electronics</v>
      </c>
      <c r="Q87">
        <f ca="1"/>
        <v>469</v>
      </c>
      <c r="R87">
        <f>_xlfn.XLOOKUP(A87, Operations!A:A, Operations!B:B, "")</f>
        <v>1</v>
      </c>
    </row>
    <row r="88" spans="1:18" x14ac:dyDescent="0.3">
      <c r="A88" s="3" t="s">
        <v>89</v>
      </c>
      <c r="B88" s="5">
        <v>45916.957511574074</v>
      </c>
      <c r="C88" s="3" t="s">
        <v>39</v>
      </c>
      <c r="D88">
        <v>1012</v>
      </c>
      <c r="E88" s="3" t="s">
        <v>46</v>
      </c>
      <c r="F88">
        <v>3</v>
      </c>
      <c r="G88">
        <v>144</v>
      </c>
      <c r="H88" t="str">
        <f>_xlfn.XLOOKUP(E88, Products!A:A, Products!B:B, "Not Found")</f>
        <v>Office</v>
      </c>
      <c r="I88">
        <f>_xlfn.XLOOKUP(E88, Products!A:A, Products!D:D, 0)</f>
        <v>136</v>
      </c>
      <c r="J88" s="6">
        <f>_xlfn.XLOOKUP(E88, Products!A:A, Products!E:E, 0)</f>
        <v>0.1</v>
      </c>
      <c r="K88">
        <f>SUM(F88*G88)</f>
        <v>432</v>
      </c>
      <c r="L88">
        <f>SUM(K88*(1-J88))</f>
        <v>388.8</v>
      </c>
      <c r="M88" s="9">
        <f>SUM(K88- (Append1[[#This Row],[Quantity]]*Append1[[#This Row],[UnitCost]]) - Finance!B75)</f>
        <v>24</v>
      </c>
      <c r="N88" t="str">
        <f t="shared" si="2"/>
        <v>Low Value</v>
      </c>
      <c r="O88" t="str">
        <f t="shared" si="3"/>
        <v>Printer</v>
      </c>
      <c r="P88" t="str">
        <f ca="1"/>
        <v>Office</v>
      </c>
      <c r="Q88">
        <f ca="1"/>
        <v>136</v>
      </c>
      <c r="R88">
        <f>_xlfn.XLOOKUP(A88, Operations!A:A, Operations!B:B, "")</f>
        <v>7</v>
      </c>
    </row>
    <row r="89" spans="1:18" x14ac:dyDescent="0.3">
      <c r="A89" s="3" t="s">
        <v>92</v>
      </c>
      <c r="B89" s="5">
        <v>45926.222662037027</v>
      </c>
      <c r="C89" s="3" t="s">
        <v>38</v>
      </c>
      <c r="D89">
        <v>1017</v>
      </c>
      <c r="E89" s="3" t="s">
        <v>45</v>
      </c>
      <c r="F89">
        <v>5</v>
      </c>
      <c r="G89">
        <v>1416</v>
      </c>
      <c r="H89" t="str">
        <f>_xlfn.XLOOKUP(E89, Products!A:A, Products!B:B, "Not Found")</f>
        <v>Electronics</v>
      </c>
      <c r="I89">
        <f>_xlfn.XLOOKUP(E89, Products!A:A, Products!D:D, 0)</f>
        <v>469</v>
      </c>
      <c r="J89" s="6">
        <f>_xlfn.XLOOKUP(E89, Products!A:A, Products!E:E, 0)</f>
        <v>0.22</v>
      </c>
      <c r="K89">
        <f>SUM(F89*G89)</f>
        <v>7080</v>
      </c>
      <c r="L89">
        <f>SUM(K89*(1-J89))</f>
        <v>5522.4000000000005</v>
      </c>
      <c r="M89" s="9">
        <f>SUM(K89- (Append1[[#This Row],[Quantity]]*Append1[[#This Row],[UnitCost]]) - Finance!B78)</f>
        <v>4735</v>
      </c>
      <c r="N89" t="str">
        <f t="shared" si="2"/>
        <v>Low Value</v>
      </c>
      <c r="O89" t="str">
        <f t="shared" si="3"/>
        <v>Laptop</v>
      </c>
      <c r="P89" t="str">
        <f ca="1"/>
        <v>Electronics</v>
      </c>
      <c r="Q89">
        <f ca="1"/>
        <v>469</v>
      </c>
      <c r="R89">
        <f>_xlfn.XLOOKUP(A89, Operations!A:A, Operations!B:B, "")</f>
        <v>5</v>
      </c>
    </row>
    <row r="90" spans="1:18" x14ac:dyDescent="0.3">
      <c r="A90" s="3" t="s">
        <v>97</v>
      </c>
      <c r="B90" s="5">
        <v>45926.246377314812</v>
      </c>
      <c r="C90" s="3" t="s">
        <v>37</v>
      </c>
      <c r="D90">
        <v>1019</v>
      </c>
      <c r="E90" s="3" t="s">
        <v>41</v>
      </c>
      <c r="F90">
        <v>1</v>
      </c>
      <c r="G90">
        <v>1272</v>
      </c>
      <c r="H90" t="str">
        <f>_xlfn.XLOOKUP(E90, Products!A:A, Products!B:B, "Not Found")</f>
        <v>Electronics</v>
      </c>
      <c r="I90">
        <f>_xlfn.XLOOKUP(E90, Products!A:A, Products!D:D, 0)</f>
        <v>492</v>
      </c>
      <c r="J90" s="6">
        <f>_xlfn.XLOOKUP(E90, Products!A:A, Products!E:E, 0)</f>
        <v>0.14000000000000001</v>
      </c>
      <c r="K90">
        <f>SUM(F90*G90)</f>
        <v>1272</v>
      </c>
      <c r="L90">
        <f>SUM(K90*(1-J90))</f>
        <v>1093.92</v>
      </c>
      <c r="M90" s="9">
        <f>SUM(K90- (Append1[[#This Row],[Quantity]]*Append1[[#This Row],[UnitCost]]) - Finance!B83)</f>
        <v>780</v>
      </c>
      <c r="N90" t="str">
        <f t="shared" si="2"/>
        <v>Low Value</v>
      </c>
      <c r="O90" t="str">
        <f t="shared" si="3"/>
        <v>Tablet</v>
      </c>
      <c r="P90" t="str">
        <f ca="1"/>
        <v>Electronics</v>
      </c>
      <c r="Q90">
        <f ca="1"/>
        <v>492</v>
      </c>
      <c r="R90">
        <f>_xlfn.XLOOKUP(A90, Operations!A:A, Operations!B:B, "")</f>
        <v>9</v>
      </c>
    </row>
    <row r="91" spans="1:18" x14ac:dyDescent="0.3">
      <c r="A91" s="3" t="s">
        <v>86</v>
      </c>
      <c r="B91" s="5">
        <v>45926.581597222219</v>
      </c>
      <c r="C91" s="3" t="s">
        <v>39</v>
      </c>
      <c r="D91">
        <v>1018</v>
      </c>
      <c r="E91" s="3" t="s">
        <v>43</v>
      </c>
      <c r="F91">
        <v>5</v>
      </c>
      <c r="G91">
        <v>644</v>
      </c>
      <c r="H91" t="str">
        <f>_xlfn.XLOOKUP(E91, Products!A:A, Products!B:B, "Not Found")</f>
        <v>Electronics</v>
      </c>
      <c r="I91">
        <f>_xlfn.XLOOKUP(E91, Products!A:A, Products!D:D, 0)</f>
        <v>463</v>
      </c>
      <c r="J91" s="6">
        <f>_xlfn.XLOOKUP(E91, Products!A:A, Products!E:E, 0)</f>
        <v>0.23</v>
      </c>
      <c r="K91">
        <f>SUM(F91*G91)</f>
        <v>3220</v>
      </c>
      <c r="L91">
        <f>SUM(K91*(1-J91))</f>
        <v>2479.4</v>
      </c>
      <c r="M91" s="9">
        <f>SUM(K91- (Append1[[#This Row],[Quantity]]*Append1[[#This Row],[UnitCost]]) - Finance!B72)</f>
        <v>905</v>
      </c>
      <c r="N91" t="str">
        <f t="shared" si="2"/>
        <v>Low Value</v>
      </c>
      <c r="O91" t="str">
        <f t="shared" si="3"/>
        <v>Monitor</v>
      </c>
      <c r="P91" t="str">
        <f ca="1"/>
        <v>Electronics</v>
      </c>
      <c r="Q91">
        <f ca="1"/>
        <v>463</v>
      </c>
      <c r="R91">
        <f>_xlfn.XLOOKUP(A91, Operations!A:A, Operations!B:B, "")</f>
        <v>1</v>
      </c>
    </row>
    <row r="92" spans="1:18" x14ac:dyDescent="0.3">
      <c r="P92">
        <f ca="1"/>
        <v>0</v>
      </c>
      <c r="Q92">
        <f ca="1"/>
        <v>0</v>
      </c>
    </row>
    <row r="93" spans="1:18" x14ac:dyDescent="0.3">
      <c r="P93">
        <f ca="1"/>
        <v>0</v>
      </c>
      <c r="Q93">
        <f ca="1"/>
        <v>0</v>
      </c>
    </row>
    <row r="94" spans="1:18" x14ac:dyDescent="0.3">
      <c r="P94">
        <f ca="1"/>
        <v>0</v>
      </c>
      <c r="Q94">
        <f ca="1"/>
        <v>0</v>
      </c>
    </row>
    <row r="95" spans="1:18" ht="18" x14ac:dyDescent="0.35">
      <c r="B95" s="14" t="s">
        <v>200</v>
      </c>
      <c r="C95" s="14"/>
      <c r="D95" s="14" t="s">
        <v>201</v>
      </c>
      <c r="E95" s="14"/>
      <c r="F95" s="14" t="s">
        <v>202</v>
      </c>
      <c r="P95">
        <f ca="1"/>
        <v>0</v>
      </c>
      <c r="Q95">
        <f ca="1"/>
        <v>0</v>
      </c>
    </row>
    <row r="96" spans="1:18" x14ac:dyDescent="0.3">
      <c r="B96" t="str" cm="1">
        <f t="array" ref="B96:B99">_xlfn.UNIQUE(C2:C91)</f>
        <v>North</v>
      </c>
      <c r="D96">
        <f>COUNTIF(C:C, B96)</f>
        <v>22</v>
      </c>
      <c r="F96" s="4">
        <f>AVERAGEIF(C:C,B96,R:R)</f>
        <v>4.5909090909090908</v>
      </c>
      <c r="P96">
        <f ca="1"/>
        <v>0</v>
      </c>
      <c r="Q96">
        <f ca="1"/>
        <v>0</v>
      </c>
    </row>
    <row r="97" spans="2:17" x14ac:dyDescent="0.3">
      <c r="B97" t="str">
        <v>West</v>
      </c>
      <c r="D97">
        <f t="shared" ref="D97:D99" si="4">COUNTIF(C:C, B97)</f>
        <v>24</v>
      </c>
      <c r="F97" s="4">
        <f t="shared" ref="F97:F99" si="5">AVERAGEIF(C:C,B97,R:R)</f>
        <v>5.083333333333333</v>
      </c>
      <c r="P97">
        <f ca="1"/>
        <v>0</v>
      </c>
      <c r="Q97">
        <f ca="1"/>
        <v>0</v>
      </c>
    </row>
    <row r="98" spans="2:17" x14ac:dyDescent="0.3">
      <c r="B98" t="str">
        <v>South</v>
      </c>
      <c r="D98">
        <f t="shared" si="4"/>
        <v>23</v>
      </c>
      <c r="F98" s="4">
        <f t="shared" si="5"/>
        <v>5.4347826086956523</v>
      </c>
      <c r="P98">
        <f ca="1"/>
        <v>0</v>
      </c>
      <c r="Q98">
        <f ca="1"/>
        <v>0</v>
      </c>
    </row>
    <row r="99" spans="2:17" x14ac:dyDescent="0.3">
      <c r="B99" t="str">
        <v>East</v>
      </c>
      <c r="D99">
        <f t="shared" si="4"/>
        <v>21</v>
      </c>
      <c r="F99" s="4">
        <f t="shared" si="5"/>
        <v>4.3809523809523814</v>
      </c>
      <c r="P99">
        <f ca="1"/>
        <v>0</v>
      </c>
      <c r="Q99">
        <f ca="1"/>
        <v>0</v>
      </c>
    </row>
    <row r="100" spans="2:17" x14ac:dyDescent="0.3">
      <c r="P100">
        <f ca="1"/>
        <v>0</v>
      </c>
      <c r="Q100">
        <f ca="1"/>
        <v>0</v>
      </c>
    </row>
    <row r="101" spans="2:17" x14ac:dyDescent="0.3">
      <c r="B101" s="15" t="s">
        <v>207</v>
      </c>
      <c r="J101"/>
      <c r="P101">
        <f ca="1"/>
        <v>0</v>
      </c>
      <c r="Q101">
        <f ca="1"/>
        <v>0</v>
      </c>
    </row>
    <row r="102" spans="2:17" x14ac:dyDescent="0.3">
      <c r="B102" t="s">
        <v>39</v>
      </c>
      <c r="D102" t="s">
        <v>40</v>
      </c>
      <c r="F102" t="s">
        <v>37</v>
      </c>
      <c r="H102" t="s">
        <v>38</v>
      </c>
      <c r="J102" t="s">
        <v>209</v>
      </c>
      <c r="K102" t="s">
        <v>208</v>
      </c>
      <c r="P102" t="str">
        <f ca="1"/>
        <v>West</v>
      </c>
      <c r="Q102">
        <f ca="1"/>
        <v>0</v>
      </c>
    </row>
    <row r="103" spans="2:17" x14ac:dyDescent="0.3">
      <c r="B103" t="s">
        <v>203</v>
      </c>
      <c r="C103" t="s">
        <v>204</v>
      </c>
      <c r="D103" t="s">
        <v>203</v>
      </c>
      <c r="E103" t="s">
        <v>204</v>
      </c>
      <c r="F103" t="s">
        <v>203</v>
      </c>
      <c r="G103" t="s">
        <v>204</v>
      </c>
      <c r="H103" t="s">
        <v>203</v>
      </c>
      <c r="I103" t="s">
        <v>204</v>
      </c>
      <c r="J103"/>
      <c r="P103" t="str">
        <f ca="1"/>
        <v>Sum of Revenue</v>
      </c>
      <c r="Q103" t="str">
        <f ca="1"/>
        <v>Sum of Profit</v>
      </c>
    </row>
    <row r="104" spans="2:17" x14ac:dyDescent="0.3">
      <c r="B104" s="3">
        <v>104142</v>
      </c>
      <c r="C104" s="9">
        <v>-66164</v>
      </c>
      <c r="D104" s="3">
        <v>87013</v>
      </c>
      <c r="E104" s="9">
        <v>-18995</v>
      </c>
      <c r="F104" s="3">
        <v>124308</v>
      </c>
      <c r="G104" s="9">
        <v>-154931</v>
      </c>
      <c r="H104" s="3">
        <v>125799</v>
      </c>
      <c r="I104" s="9">
        <v>-644</v>
      </c>
      <c r="J104" s="3">
        <v>441262</v>
      </c>
      <c r="K104" s="9">
        <v>-240734</v>
      </c>
      <c r="P104">
        <f ca="1"/>
        <v>125799</v>
      </c>
      <c r="Q104">
        <f ca="1"/>
        <v>-644</v>
      </c>
    </row>
    <row r="105" spans="2:17" x14ac:dyDescent="0.3">
      <c r="B105"/>
      <c r="J105"/>
      <c r="P105">
        <f ca="1"/>
        <v>0</v>
      </c>
      <c r="Q105">
        <f ca="1"/>
        <v>0</v>
      </c>
    </row>
    <row r="106" spans="2:17" x14ac:dyDescent="0.3">
      <c r="B106"/>
      <c r="J106"/>
      <c r="P106">
        <f ca="1"/>
        <v>0</v>
      </c>
      <c r="Q106">
        <f ca="1"/>
        <v>0</v>
      </c>
    </row>
    <row r="107" spans="2:17" x14ac:dyDescent="0.3">
      <c r="B107"/>
      <c r="J107"/>
    </row>
    <row r="108" spans="2:17" x14ac:dyDescent="0.3">
      <c r="B108"/>
      <c r="J108"/>
    </row>
    <row r="109" spans="2:17" x14ac:dyDescent="0.3">
      <c r="B109"/>
      <c r="J109"/>
    </row>
    <row r="110" spans="2:17" x14ac:dyDescent="0.3">
      <c r="B110"/>
      <c r="J110"/>
    </row>
    <row r="111" spans="2:17" x14ac:dyDescent="0.3">
      <c r="B111"/>
      <c r="J111"/>
    </row>
    <row r="112" spans="2:17" x14ac:dyDescent="0.3">
      <c r="B112"/>
      <c r="J112"/>
    </row>
    <row r="113" spans="2:13" x14ac:dyDescent="0.3">
      <c r="B113"/>
      <c r="J113"/>
    </row>
    <row r="114" spans="2:13" x14ac:dyDescent="0.3">
      <c r="B114"/>
      <c r="J114"/>
    </row>
    <row r="115" spans="2:13" x14ac:dyDescent="0.3">
      <c r="B115"/>
      <c r="J115"/>
    </row>
    <row r="116" spans="2:13" x14ac:dyDescent="0.3">
      <c r="B116"/>
      <c r="J116"/>
    </row>
    <row r="117" spans="2:13" x14ac:dyDescent="0.3">
      <c r="B117"/>
      <c r="J117"/>
    </row>
    <row r="118" spans="2:13" x14ac:dyDescent="0.3">
      <c r="B118"/>
      <c r="J118"/>
    </row>
    <row r="119" spans="2:13" x14ac:dyDescent="0.3">
      <c r="B119"/>
      <c r="J119"/>
    </row>
    <row r="120" spans="2:13" x14ac:dyDescent="0.3">
      <c r="B120"/>
      <c r="J120"/>
    </row>
    <row r="121" spans="2:13" x14ac:dyDescent="0.3">
      <c r="B121" s="15" t="s">
        <v>205</v>
      </c>
      <c r="C121" t="s">
        <v>204</v>
      </c>
      <c r="E121" s="15" t="s">
        <v>205</v>
      </c>
      <c r="F121" t="s">
        <v>210</v>
      </c>
      <c r="H121" s="15" t="s">
        <v>220</v>
      </c>
      <c r="I121" s="15" t="s">
        <v>207</v>
      </c>
      <c r="J121"/>
    </row>
    <row r="122" spans="2:13" x14ac:dyDescent="0.3">
      <c r="B122" s="11" t="s">
        <v>111</v>
      </c>
      <c r="C122" s="9">
        <v>-1694</v>
      </c>
      <c r="E122" s="11" t="s">
        <v>39</v>
      </c>
      <c r="F122" s="3">
        <v>92</v>
      </c>
      <c r="H122" s="15" t="s">
        <v>205</v>
      </c>
      <c r="I122" t="s">
        <v>39</v>
      </c>
      <c r="J122" t="s">
        <v>40</v>
      </c>
      <c r="K122" t="s">
        <v>37</v>
      </c>
      <c r="L122" t="s">
        <v>38</v>
      </c>
      <c r="M122" t="s">
        <v>206</v>
      </c>
    </row>
    <row r="123" spans="2:13" x14ac:dyDescent="0.3">
      <c r="B123" s="11" t="s">
        <v>110</v>
      </c>
      <c r="C123" s="9">
        <v>-213951</v>
      </c>
      <c r="E123" s="11" t="s">
        <v>40</v>
      </c>
      <c r="F123" s="3">
        <v>101</v>
      </c>
      <c r="H123" s="11" t="s">
        <v>211</v>
      </c>
      <c r="I123" s="3">
        <v>1</v>
      </c>
      <c r="J123" s="3">
        <v>3</v>
      </c>
      <c r="K123" s="3">
        <v>3</v>
      </c>
      <c r="L123" s="3">
        <v>3</v>
      </c>
      <c r="M123" s="3">
        <v>10</v>
      </c>
    </row>
    <row r="124" spans="2:13" x14ac:dyDescent="0.3">
      <c r="B124" s="11" t="s">
        <v>112</v>
      </c>
      <c r="C124" s="9">
        <v>-25089</v>
      </c>
      <c r="E124" s="11" t="s">
        <v>37</v>
      </c>
      <c r="F124" s="3">
        <v>125</v>
      </c>
      <c r="H124" s="11" t="s">
        <v>212</v>
      </c>
      <c r="I124" s="3">
        <v>4</v>
      </c>
      <c r="J124" s="3">
        <v>1</v>
      </c>
      <c r="K124" s="3">
        <v>5</v>
      </c>
      <c r="L124" s="3"/>
      <c r="M124" s="3">
        <v>10</v>
      </c>
    </row>
    <row r="125" spans="2:13" x14ac:dyDescent="0.3">
      <c r="B125" s="11" t="s">
        <v>206</v>
      </c>
      <c r="C125" s="9">
        <v>-240734</v>
      </c>
      <c r="E125" s="11" t="s">
        <v>38</v>
      </c>
      <c r="F125" s="3">
        <v>122</v>
      </c>
      <c r="H125" s="11" t="s">
        <v>213</v>
      </c>
      <c r="I125" s="3">
        <v>1</v>
      </c>
      <c r="J125" s="3">
        <v>2</v>
      </c>
      <c r="K125" s="3">
        <v>3</v>
      </c>
      <c r="L125" s="3">
        <v>4</v>
      </c>
      <c r="M125" s="3">
        <v>10</v>
      </c>
    </row>
    <row r="126" spans="2:13" x14ac:dyDescent="0.3">
      <c r="B126"/>
      <c r="E126" s="11" t="s">
        <v>206</v>
      </c>
      <c r="F126" s="3">
        <v>440</v>
      </c>
      <c r="H126" s="11" t="s">
        <v>214</v>
      </c>
      <c r="I126" s="3">
        <v>5</v>
      </c>
      <c r="J126" s="3">
        <v>4</v>
      </c>
      <c r="K126" s="3">
        <v>1</v>
      </c>
      <c r="L126" s="3">
        <v>4</v>
      </c>
      <c r="M126" s="3">
        <v>14</v>
      </c>
    </row>
    <row r="127" spans="2:13" x14ac:dyDescent="0.3">
      <c r="B127"/>
      <c r="H127" s="11" t="s">
        <v>215</v>
      </c>
      <c r="I127" s="3">
        <v>2</v>
      </c>
      <c r="J127" s="3">
        <v>3</v>
      </c>
      <c r="K127" s="3">
        <v>2</v>
      </c>
      <c r="L127" s="3">
        <v>2</v>
      </c>
      <c r="M127" s="3">
        <v>9</v>
      </c>
    </row>
    <row r="128" spans="2:13" x14ac:dyDescent="0.3">
      <c r="B128"/>
      <c r="H128" s="11" t="s">
        <v>216</v>
      </c>
      <c r="I128" s="3">
        <v>2</v>
      </c>
      <c r="J128" s="3">
        <v>1</v>
      </c>
      <c r="K128" s="3">
        <v>1</v>
      </c>
      <c r="L128" s="3">
        <v>3</v>
      </c>
      <c r="M128" s="3">
        <v>7</v>
      </c>
    </row>
    <row r="129" spans="2:13" x14ac:dyDescent="0.3">
      <c r="B129"/>
      <c r="H129" s="11" t="s">
        <v>217</v>
      </c>
      <c r="I129" s="3">
        <v>2</v>
      </c>
      <c r="J129" s="3">
        <v>3</v>
      </c>
      <c r="K129" s="3">
        <v>3</v>
      </c>
      <c r="L129" s="3">
        <v>4</v>
      </c>
      <c r="M129" s="3">
        <v>12</v>
      </c>
    </row>
    <row r="130" spans="2:13" x14ac:dyDescent="0.3">
      <c r="B130"/>
      <c r="H130" s="11" t="s">
        <v>218</v>
      </c>
      <c r="I130" s="3">
        <v>2</v>
      </c>
      <c r="J130" s="3">
        <v>5</v>
      </c>
      <c r="K130" s="3">
        <v>2</v>
      </c>
      <c r="L130" s="3">
        <v>2</v>
      </c>
      <c r="M130" s="3">
        <v>11</v>
      </c>
    </row>
    <row r="131" spans="2:13" x14ac:dyDescent="0.3">
      <c r="B131"/>
      <c r="H131" s="11" t="s">
        <v>219</v>
      </c>
      <c r="I131" s="3">
        <v>2</v>
      </c>
      <c r="J131" s="3"/>
      <c r="K131" s="3">
        <v>3</v>
      </c>
      <c r="L131" s="3">
        <v>2</v>
      </c>
      <c r="M131" s="3">
        <v>7</v>
      </c>
    </row>
    <row r="132" spans="2:13" x14ac:dyDescent="0.3">
      <c r="B132"/>
      <c r="H132" s="11" t="s">
        <v>206</v>
      </c>
      <c r="I132" s="3">
        <v>21</v>
      </c>
      <c r="J132" s="3">
        <v>22</v>
      </c>
      <c r="K132" s="3">
        <v>23</v>
      </c>
      <c r="L132" s="3">
        <v>24</v>
      </c>
      <c r="M132" s="3">
        <v>90</v>
      </c>
    </row>
    <row r="133" spans="2:13" x14ac:dyDescent="0.3">
      <c r="B133"/>
      <c r="J133"/>
    </row>
    <row r="134" spans="2:13" x14ac:dyDescent="0.3">
      <c r="B134"/>
      <c r="J134"/>
    </row>
    <row r="135" spans="2:13" x14ac:dyDescent="0.3">
      <c r="B135"/>
      <c r="J135"/>
    </row>
    <row r="136" spans="2:13" x14ac:dyDescent="0.3">
      <c r="B136"/>
      <c r="J136"/>
    </row>
    <row r="137" spans="2:13" x14ac:dyDescent="0.3">
      <c r="B137"/>
      <c r="J137"/>
    </row>
    <row r="138" spans="2:13" x14ac:dyDescent="0.3">
      <c r="B138"/>
      <c r="J138"/>
    </row>
    <row r="139" spans="2:13" x14ac:dyDescent="0.3">
      <c r="B139"/>
      <c r="J139"/>
    </row>
    <row r="140" spans="2:13" x14ac:dyDescent="0.3">
      <c r="B140"/>
      <c r="J140"/>
    </row>
    <row r="141" spans="2:13" x14ac:dyDescent="0.3">
      <c r="B141"/>
      <c r="J141"/>
    </row>
    <row r="142" spans="2:13" x14ac:dyDescent="0.3">
      <c r="B142"/>
      <c r="J142"/>
    </row>
    <row r="143" spans="2:13" x14ac:dyDescent="0.3">
      <c r="B143"/>
      <c r="J143"/>
    </row>
    <row r="144" spans="2:13" x14ac:dyDescent="0.3">
      <c r="B144"/>
      <c r="J144"/>
    </row>
    <row r="145" spans="2:10" x14ac:dyDescent="0.3">
      <c r="B145"/>
      <c r="J145"/>
    </row>
    <row r="146" spans="2:10" x14ac:dyDescent="0.3">
      <c r="B146"/>
      <c r="J146"/>
    </row>
    <row r="147" spans="2:10" x14ac:dyDescent="0.3">
      <c r="B147"/>
      <c r="J147"/>
    </row>
    <row r="148" spans="2:10" x14ac:dyDescent="0.3">
      <c r="B148"/>
      <c r="J148"/>
    </row>
    <row r="149" spans="2:10" x14ac:dyDescent="0.3">
      <c r="B149"/>
      <c r="J149"/>
    </row>
    <row r="150" spans="2:10" x14ac:dyDescent="0.3">
      <c r="B150"/>
      <c r="J150"/>
    </row>
    <row r="151" spans="2:10" x14ac:dyDescent="0.3">
      <c r="B151"/>
      <c r="J151"/>
    </row>
    <row r="152" spans="2:10" x14ac:dyDescent="0.3">
      <c r="B152"/>
      <c r="J152"/>
    </row>
    <row r="153" spans="2:10" x14ac:dyDescent="0.3">
      <c r="B153"/>
      <c r="J153"/>
    </row>
    <row r="154" spans="2:10" x14ac:dyDescent="0.3">
      <c r="B154"/>
      <c r="J154"/>
    </row>
    <row r="155" spans="2:10" x14ac:dyDescent="0.3">
      <c r="B155"/>
      <c r="J155"/>
    </row>
    <row r="156" spans="2:10" x14ac:dyDescent="0.3">
      <c r="B156"/>
      <c r="J156"/>
    </row>
    <row r="157" spans="2:10" x14ac:dyDescent="0.3">
      <c r="B157"/>
      <c r="J157"/>
    </row>
    <row r="158" spans="2:10" x14ac:dyDescent="0.3">
      <c r="B158"/>
      <c r="J158"/>
    </row>
    <row r="159" spans="2:10" x14ac:dyDescent="0.3">
      <c r="B159"/>
      <c r="J159"/>
    </row>
    <row r="160" spans="2:10" x14ac:dyDescent="0.3">
      <c r="B160"/>
      <c r="J160"/>
    </row>
    <row r="161" spans="2:10" x14ac:dyDescent="0.3">
      <c r="B161"/>
      <c r="J161"/>
    </row>
    <row r="162" spans="2:10" x14ac:dyDescent="0.3">
      <c r="B162"/>
      <c r="J162"/>
    </row>
    <row r="163" spans="2:10" x14ac:dyDescent="0.3">
      <c r="B163"/>
      <c r="J163"/>
    </row>
    <row r="164" spans="2:10" x14ac:dyDescent="0.3">
      <c r="B164"/>
      <c r="J164"/>
    </row>
    <row r="165" spans="2:10" x14ac:dyDescent="0.3">
      <c r="B165"/>
      <c r="J165"/>
    </row>
    <row r="166" spans="2:10" x14ac:dyDescent="0.3">
      <c r="B166"/>
      <c r="J166"/>
    </row>
    <row r="167" spans="2:10" x14ac:dyDescent="0.3">
      <c r="B167"/>
      <c r="J167"/>
    </row>
    <row r="168" spans="2:10" x14ac:dyDescent="0.3">
      <c r="B168"/>
      <c r="J168"/>
    </row>
    <row r="169" spans="2:10" x14ac:dyDescent="0.3">
      <c r="B169"/>
      <c r="J169"/>
    </row>
    <row r="170" spans="2:10" x14ac:dyDescent="0.3">
      <c r="B170"/>
      <c r="J170"/>
    </row>
    <row r="171" spans="2:10" x14ac:dyDescent="0.3">
      <c r="B171"/>
      <c r="J171"/>
    </row>
    <row r="172" spans="2:10" x14ac:dyDescent="0.3">
      <c r="B172"/>
      <c r="J172"/>
    </row>
    <row r="173" spans="2:10" x14ac:dyDescent="0.3">
      <c r="B173"/>
      <c r="J173"/>
    </row>
    <row r="174" spans="2:10" x14ac:dyDescent="0.3">
      <c r="B174"/>
      <c r="J174"/>
    </row>
    <row r="175" spans="2:10" x14ac:dyDescent="0.3">
      <c r="B175"/>
      <c r="J175"/>
    </row>
    <row r="176" spans="2:10" x14ac:dyDescent="0.3">
      <c r="B176"/>
      <c r="J176"/>
    </row>
    <row r="177" spans="2:10" x14ac:dyDescent="0.3">
      <c r="B177"/>
      <c r="J177"/>
    </row>
    <row r="178" spans="2:10" x14ac:dyDescent="0.3">
      <c r="B178"/>
      <c r="J178"/>
    </row>
    <row r="179" spans="2:10" x14ac:dyDescent="0.3">
      <c r="B179"/>
      <c r="J179"/>
    </row>
    <row r="180" spans="2:10" x14ac:dyDescent="0.3">
      <c r="B180"/>
      <c r="J180"/>
    </row>
    <row r="181" spans="2:10" x14ac:dyDescent="0.3">
      <c r="B181"/>
      <c r="J181"/>
    </row>
    <row r="182" spans="2:10" x14ac:dyDescent="0.3">
      <c r="B182"/>
      <c r="J182"/>
    </row>
    <row r="183" spans="2:10" x14ac:dyDescent="0.3">
      <c r="B183"/>
      <c r="J183"/>
    </row>
    <row r="184" spans="2:10" x14ac:dyDescent="0.3">
      <c r="B184"/>
      <c r="J184"/>
    </row>
    <row r="185" spans="2:10" x14ac:dyDescent="0.3">
      <c r="B185"/>
      <c r="J185"/>
    </row>
    <row r="186" spans="2:10" x14ac:dyDescent="0.3">
      <c r="B186"/>
      <c r="J186"/>
    </row>
    <row r="187" spans="2:10" x14ac:dyDescent="0.3">
      <c r="B187"/>
      <c r="J187"/>
    </row>
    <row r="188" spans="2:10" x14ac:dyDescent="0.3">
      <c r="B188"/>
      <c r="J188"/>
    </row>
    <row r="189" spans="2:10" x14ac:dyDescent="0.3">
      <c r="B189"/>
      <c r="J189"/>
    </row>
    <row r="190" spans="2:10" x14ac:dyDescent="0.3">
      <c r="B190"/>
      <c r="J190"/>
    </row>
    <row r="191" spans="2:10" x14ac:dyDescent="0.3">
      <c r="B191"/>
      <c r="J191"/>
    </row>
    <row r="192" spans="2:10" x14ac:dyDescent="0.3">
      <c r="B192"/>
      <c r="J192"/>
    </row>
    <row r="193" spans="2:10" x14ac:dyDescent="0.3">
      <c r="B193"/>
      <c r="J193"/>
    </row>
    <row r="194" spans="2:10" x14ac:dyDescent="0.3">
      <c r="B194"/>
    </row>
    <row r="195" spans="2:10" x14ac:dyDescent="0.3">
      <c r="B195"/>
    </row>
    <row r="196" spans="2:10" x14ac:dyDescent="0.3">
      <c r="B196"/>
    </row>
    <row r="197" spans="2:10" x14ac:dyDescent="0.3">
      <c r="B197"/>
    </row>
    <row r="198" spans="2:10" x14ac:dyDescent="0.3">
      <c r="B198"/>
    </row>
    <row r="199" spans="2:10" x14ac:dyDescent="0.3">
      <c r="B199"/>
    </row>
    <row r="200" spans="2:10" x14ac:dyDescent="0.3">
      <c r="B200"/>
    </row>
    <row r="201" spans="2:10" x14ac:dyDescent="0.3">
      <c r="B201"/>
    </row>
    <row r="202" spans="2:10" x14ac:dyDescent="0.3">
      <c r="B202"/>
    </row>
    <row r="203" spans="2:10" x14ac:dyDescent="0.3">
      <c r="B203"/>
    </row>
    <row r="204" spans="2:10" x14ac:dyDescent="0.3">
      <c r="B204"/>
    </row>
    <row r="205" spans="2:10" x14ac:dyDescent="0.3">
      <c r="B205"/>
    </row>
    <row r="206" spans="2:10" x14ac:dyDescent="0.3">
      <c r="B206"/>
    </row>
    <row r="207" spans="2:10" x14ac:dyDescent="0.3">
      <c r="B207"/>
    </row>
    <row r="208" spans="2:10" x14ac:dyDescent="0.3">
      <c r="B208"/>
    </row>
    <row r="209" spans="2:2" x14ac:dyDescent="0.3">
      <c r="B209"/>
    </row>
    <row r="210" spans="2:2" x14ac:dyDescent="0.3">
      <c r="B210"/>
    </row>
    <row r="211" spans="2:2" x14ac:dyDescent="0.3">
      <c r="B211"/>
    </row>
    <row r="212" spans="2:2" x14ac:dyDescent="0.3">
      <c r="B212"/>
    </row>
    <row r="213" spans="2:2" x14ac:dyDescent="0.3">
      <c r="B213"/>
    </row>
    <row r="214" spans="2:2" x14ac:dyDescent="0.3">
      <c r="B214"/>
    </row>
    <row r="215" spans="2:2" x14ac:dyDescent="0.3">
      <c r="B215"/>
    </row>
    <row r="216" spans="2:2" x14ac:dyDescent="0.3">
      <c r="B216"/>
    </row>
    <row r="217" spans="2:2" x14ac:dyDescent="0.3">
      <c r="B217"/>
    </row>
    <row r="218" spans="2:2" x14ac:dyDescent="0.3">
      <c r="B218"/>
    </row>
    <row r="219" spans="2:2" x14ac:dyDescent="0.3">
      <c r="B219"/>
    </row>
    <row r="220" spans="2:2" x14ac:dyDescent="0.3">
      <c r="B220"/>
    </row>
    <row r="221" spans="2:2" x14ac:dyDescent="0.3">
      <c r="B221"/>
    </row>
    <row r="222" spans="2:2" x14ac:dyDescent="0.3">
      <c r="B222"/>
    </row>
    <row r="223" spans="2:2" x14ac:dyDescent="0.3">
      <c r="B223"/>
    </row>
    <row r="224" spans="2:2" x14ac:dyDescent="0.3">
      <c r="B224"/>
    </row>
    <row r="225" spans="2:2" x14ac:dyDescent="0.3">
      <c r="B225"/>
    </row>
    <row r="226" spans="2:2" x14ac:dyDescent="0.3">
      <c r="B226"/>
    </row>
    <row r="227" spans="2:2" x14ac:dyDescent="0.3">
      <c r="B227"/>
    </row>
    <row r="228" spans="2:2" x14ac:dyDescent="0.3">
      <c r="B228"/>
    </row>
    <row r="229" spans="2:2" x14ac:dyDescent="0.3">
      <c r="B229"/>
    </row>
    <row r="230" spans="2:2" x14ac:dyDescent="0.3">
      <c r="B230"/>
    </row>
    <row r="231" spans="2:2" x14ac:dyDescent="0.3">
      <c r="B231"/>
    </row>
    <row r="232" spans="2:2" x14ac:dyDescent="0.3">
      <c r="B232"/>
    </row>
    <row r="233" spans="2:2" x14ac:dyDescent="0.3">
      <c r="B233"/>
    </row>
    <row r="234" spans="2:2" x14ac:dyDescent="0.3">
      <c r="B234"/>
    </row>
    <row r="235" spans="2:2" x14ac:dyDescent="0.3">
      <c r="B235"/>
    </row>
    <row r="236" spans="2:2" x14ac:dyDescent="0.3">
      <c r="B236"/>
    </row>
    <row r="237" spans="2:2" x14ac:dyDescent="0.3">
      <c r="B237"/>
    </row>
    <row r="238" spans="2:2" x14ac:dyDescent="0.3">
      <c r="B238"/>
    </row>
    <row r="239" spans="2:2" x14ac:dyDescent="0.3">
      <c r="B239"/>
    </row>
    <row r="240" spans="2:2" x14ac:dyDescent="0.3">
      <c r="B240"/>
    </row>
    <row r="241" spans="2:2" x14ac:dyDescent="0.3">
      <c r="B241"/>
    </row>
    <row r="242" spans="2:2" x14ac:dyDescent="0.3">
      <c r="B242"/>
    </row>
    <row r="243" spans="2:2" x14ac:dyDescent="0.3">
      <c r="B243"/>
    </row>
    <row r="244" spans="2:2" x14ac:dyDescent="0.3">
      <c r="B244"/>
    </row>
    <row r="245" spans="2:2" x14ac:dyDescent="0.3">
      <c r="B245"/>
    </row>
    <row r="246" spans="2:2" x14ac:dyDescent="0.3">
      <c r="B246"/>
    </row>
    <row r="247" spans="2:2" x14ac:dyDescent="0.3">
      <c r="B247"/>
    </row>
    <row r="248" spans="2:2" x14ac:dyDescent="0.3">
      <c r="B248"/>
    </row>
    <row r="249" spans="2:2" x14ac:dyDescent="0.3">
      <c r="B249"/>
    </row>
    <row r="250" spans="2:2" x14ac:dyDescent="0.3">
      <c r="B250"/>
    </row>
    <row r="251" spans="2:2" x14ac:dyDescent="0.3">
      <c r="B251"/>
    </row>
    <row r="252" spans="2:2" x14ac:dyDescent="0.3">
      <c r="B252"/>
    </row>
    <row r="253" spans="2:2" x14ac:dyDescent="0.3">
      <c r="B253"/>
    </row>
    <row r="254" spans="2:2" x14ac:dyDescent="0.3">
      <c r="B254"/>
    </row>
    <row r="255" spans="2:2" x14ac:dyDescent="0.3">
      <c r="B255"/>
    </row>
    <row r="256" spans="2:2" x14ac:dyDescent="0.3">
      <c r="B256"/>
    </row>
    <row r="257" spans="2:2" x14ac:dyDescent="0.3">
      <c r="B257"/>
    </row>
    <row r="258" spans="2:2" x14ac:dyDescent="0.3">
      <c r="B258"/>
    </row>
    <row r="259" spans="2:2" x14ac:dyDescent="0.3">
      <c r="B259"/>
    </row>
    <row r="260" spans="2:2" x14ac:dyDescent="0.3">
      <c r="B260"/>
    </row>
    <row r="261" spans="2:2" x14ac:dyDescent="0.3">
      <c r="B261"/>
    </row>
    <row r="262" spans="2:2" x14ac:dyDescent="0.3">
      <c r="B262"/>
    </row>
    <row r="263" spans="2:2" x14ac:dyDescent="0.3">
      <c r="B263"/>
    </row>
    <row r="264" spans="2:2" x14ac:dyDescent="0.3">
      <c r="B264"/>
    </row>
    <row r="265" spans="2:2" x14ac:dyDescent="0.3">
      <c r="B265"/>
    </row>
    <row r="266" spans="2:2" x14ac:dyDescent="0.3">
      <c r="B266"/>
    </row>
    <row r="267" spans="2:2" x14ac:dyDescent="0.3">
      <c r="B267"/>
    </row>
    <row r="268" spans="2:2" x14ac:dyDescent="0.3">
      <c r="B268"/>
    </row>
    <row r="269" spans="2:2" x14ac:dyDescent="0.3">
      <c r="B269"/>
    </row>
    <row r="270" spans="2:2" x14ac:dyDescent="0.3">
      <c r="B270"/>
    </row>
    <row r="271" spans="2:2" x14ac:dyDescent="0.3">
      <c r="B271"/>
    </row>
    <row r="272" spans="2:2" x14ac:dyDescent="0.3">
      <c r="B272"/>
    </row>
    <row r="273" spans="2:2" x14ac:dyDescent="0.3">
      <c r="B273"/>
    </row>
    <row r="274" spans="2:2" x14ac:dyDescent="0.3">
      <c r="B274"/>
    </row>
    <row r="275" spans="2:2" x14ac:dyDescent="0.3">
      <c r="B275"/>
    </row>
    <row r="276" spans="2:2" x14ac:dyDescent="0.3">
      <c r="B276"/>
    </row>
    <row r="277" spans="2:2" x14ac:dyDescent="0.3">
      <c r="B277"/>
    </row>
    <row r="278" spans="2:2" x14ac:dyDescent="0.3">
      <c r="B278"/>
    </row>
    <row r="279" spans="2:2" x14ac:dyDescent="0.3">
      <c r="B279"/>
    </row>
    <row r="280" spans="2:2" x14ac:dyDescent="0.3">
      <c r="B280"/>
    </row>
    <row r="281" spans="2:2" x14ac:dyDescent="0.3">
      <c r="B281"/>
    </row>
    <row r="282" spans="2:2" x14ac:dyDescent="0.3">
      <c r="B282"/>
    </row>
  </sheetData>
  <phoneticPr fontId="3" type="noConversion"/>
  <conditionalFormatting sqref="D1:D101 D283:D1048576">
    <cfRule type="top10" dxfId="1" priority="3" rank="10"/>
  </conditionalFormatting>
  <conditionalFormatting sqref="R1:R102 R194:R1048576">
    <cfRule type="iconSet" priority="2">
      <iconSet>
        <cfvo type="percent" val="0"/>
        <cfvo type="percent" val="33"/>
        <cfvo type="percent" val="67"/>
      </iconSet>
    </cfRule>
  </conditionalFormatting>
  <conditionalFormatting pivot="1" sqref="C122:C125">
    <cfRule type="aboveAverage" dxfId="0" priority="1" aboveAverage="0"/>
  </conditionalFormatting>
  <dataValidations count="1">
    <dataValidation type="list" allowBlank="1" showInputMessage="1" showErrorMessage="1" sqref="C2:C91" xr:uid="{BF6B2B1F-2548-4D63-8602-BCC8058C3A9C}">
      <formula1>$B$96:$B$99</formula1>
    </dataValidation>
  </dataValidations>
  <pageMargins left="0.7" right="0.7" top="0.75" bottom="0.75" header="0.3" footer="0.3"/>
  <ignoredErrors>
    <ignoredError sqref="N2" calculatedColumn="1"/>
  </ignoredErrors>
  <drawing r:id="rId5"/>
  <tableParts count="2">
    <tablePart r:id="rId6"/>
    <tablePart r:id="rId7"/>
  </tableParts>
  <extLst>
    <ext xmlns:x14="http://schemas.microsoft.com/office/spreadsheetml/2009/9/main" uri="{CCE6A557-97BC-4b89-ADB6-D9C93CAAB3DF}">
      <x14:dataValidations xmlns:xm="http://schemas.microsoft.com/office/excel/2006/main" count="1">
        <x14:dataValidation type="list" allowBlank="1" showInputMessage="1" showErrorMessage="1" xr:uid="{030CA89C-054F-4DC4-B4B5-68878D7270B9}">
          <x14:formula1>
            <xm:f>Products!$B$1:$B$7</xm:f>
          </x14:formula1>
          <xm:sqref>H2:H91</xm:sqref>
        </x14:dataValidation>
      </x14:dataValidations>
    </ex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98F6D-06D1-474C-8BE8-49C0FFE9B46F}">
  <dimension ref="A1:F9"/>
  <sheetViews>
    <sheetView workbookViewId="0">
      <selection activeCell="K20" sqref="K20"/>
    </sheetView>
  </sheetViews>
  <sheetFormatPr defaultRowHeight="14.4" x14ac:dyDescent="0.3"/>
  <cols>
    <col min="1" max="2" width="15.5546875" bestFit="1" customWidth="1"/>
    <col min="3" max="3" width="5.88671875" bestFit="1" customWidth="1"/>
    <col min="4" max="4" width="6" bestFit="1" customWidth="1"/>
    <col min="5" max="5" width="5.21875" bestFit="1" customWidth="1"/>
    <col min="6" max="6" width="10.77734375" bestFit="1" customWidth="1"/>
    <col min="7" max="7" width="12" bestFit="1" customWidth="1"/>
    <col min="8" max="8" width="5.88671875" bestFit="1" customWidth="1"/>
    <col min="9" max="9" width="6" bestFit="1" customWidth="1"/>
    <col min="10" max="10" width="5.21875" bestFit="1" customWidth="1"/>
    <col min="11" max="11" width="14.77734375" bestFit="1" customWidth="1"/>
    <col min="12" max="12" width="8" bestFit="1" customWidth="1"/>
    <col min="13" max="13" width="5.88671875" bestFit="1" customWidth="1"/>
    <col min="14" max="14" width="6" bestFit="1" customWidth="1"/>
    <col min="15" max="15" width="5.21875" bestFit="1" customWidth="1"/>
    <col min="16" max="16" width="10.6640625" bestFit="1" customWidth="1"/>
    <col min="17" max="17" width="10.77734375" bestFit="1" customWidth="1"/>
  </cols>
  <sheetData>
    <row r="1" spans="1:6" x14ac:dyDescent="0.3">
      <c r="A1" t="s">
        <v>221</v>
      </c>
      <c r="B1" t="s">
        <v>222</v>
      </c>
      <c r="C1" t="s">
        <v>223</v>
      </c>
    </row>
    <row r="2" spans="1:6" x14ac:dyDescent="0.3">
      <c r="A2" s="8">
        <f>SUM(Append1[Discounted Revenue])</f>
        <v>370395.87999999995</v>
      </c>
      <c r="B2" s="9">
        <f>SUM(Append1[Profit])</f>
        <v>-192490</v>
      </c>
      <c r="C2">
        <f>INDEX(Sales_All!D2:D91, MATCH(MAX(Sales_All!L2:L91), Sales_All!L2:L91, 0))</f>
        <v>1017</v>
      </c>
    </row>
    <row r="4" spans="1:6" x14ac:dyDescent="0.3">
      <c r="A4" s="15" t="s">
        <v>224</v>
      </c>
      <c r="B4" s="15" t="s">
        <v>207</v>
      </c>
    </row>
    <row r="5" spans="1:6" x14ac:dyDescent="0.3">
      <c r="A5" s="15" t="s">
        <v>205</v>
      </c>
      <c r="B5" t="s">
        <v>39</v>
      </c>
      <c r="C5" t="s">
        <v>40</v>
      </c>
      <c r="D5" t="s">
        <v>37</v>
      </c>
      <c r="E5" t="s">
        <v>38</v>
      </c>
      <c r="F5" t="s">
        <v>206</v>
      </c>
    </row>
    <row r="6" spans="1:6" x14ac:dyDescent="0.3">
      <c r="A6" s="11" t="s">
        <v>111</v>
      </c>
      <c r="B6" s="3">
        <v>6</v>
      </c>
      <c r="C6" s="3">
        <v>4</v>
      </c>
      <c r="D6" s="3">
        <v>4</v>
      </c>
      <c r="E6" s="3">
        <v>3</v>
      </c>
      <c r="F6" s="3">
        <v>17</v>
      </c>
    </row>
    <row r="7" spans="1:6" x14ac:dyDescent="0.3">
      <c r="A7" s="11" t="s">
        <v>110</v>
      </c>
      <c r="B7" s="3">
        <v>11</v>
      </c>
      <c r="C7" s="3">
        <v>13</v>
      </c>
      <c r="D7" s="3">
        <v>15</v>
      </c>
      <c r="E7" s="3">
        <v>19</v>
      </c>
      <c r="F7" s="3">
        <v>58</v>
      </c>
    </row>
    <row r="8" spans="1:6" x14ac:dyDescent="0.3">
      <c r="A8" s="11" t="s">
        <v>112</v>
      </c>
      <c r="B8" s="3">
        <v>4</v>
      </c>
      <c r="C8" s="3">
        <v>5</v>
      </c>
      <c r="D8" s="3">
        <v>4</v>
      </c>
      <c r="E8" s="3">
        <v>2</v>
      </c>
      <c r="F8" s="3">
        <v>15</v>
      </c>
    </row>
    <row r="9" spans="1:6" x14ac:dyDescent="0.3">
      <c r="A9" s="11" t="s">
        <v>206</v>
      </c>
      <c r="B9" s="3">
        <v>21</v>
      </c>
      <c r="C9" s="3">
        <v>22</v>
      </c>
      <c r="D9" s="3">
        <v>23</v>
      </c>
      <c r="E9" s="3">
        <v>24</v>
      </c>
      <c r="F9" s="3">
        <v>90</v>
      </c>
    </row>
  </sheetData>
  <phoneticPr fontId="3" type="noConversion"/>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3B292-07E6-42F9-B99F-5CCAD22332D1}">
  <dimension ref="A1:I32"/>
  <sheetViews>
    <sheetView workbookViewId="0">
      <selection activeCell="F2" sqref="F2"/>
    </sheetView>
  </sheetViews>
  <sheetFormatPr defaultRowHeight="14.4" x14ac:dyDescent="0.3"/>
  <cols>
    <col min="1" max="1" width="13.109375" bestFit="1" customWidth="1"/>
    <col min="2" max="2" width="11.6640625" bestFit="1" customWidth="1"/>
    <col min="3" max="3" width="12" bestFit="1" customWidth="1"/>
    <col min="4" max="4" width="27.77734375" bestFit="1" customWidth="1"/>
    <col min="5" max="5" width="9" bestFit="1" customWidth="1"/>
    <col min="6" max="6" width="15.109375" bestFit="1" customWidth="1"/>
    <col min="7" max="7" width="20.109375" customWidth="1"/>
    <col min="8" max="8" width="21.44140625" customWidth="1"/>
    <col min="9" max="9" width="23.33203125" customWidth="1"/>
  </cols>
  <sheetData>
    <row r="1" spans="1:9" x14ac:dyDescent="0.3">
      <c r="A1" t="s">
        <v>3</v>
      </c>
      <c r="B1" t="s">
        <v>121</v>
      </c>
      <c r="C1" t="s">
        <v>122</v>
      </c>
      <c r="D1" t="s">
        <v>123</v>
      </c>
      <c r="E1" t="s">
        <v>2</v>
      </c>
      <c r="F1" t="s">
        <v>124</v>
      </c>
      <c r="G1" t="s">
        <v>193</v>
      </c>
      <c r="H1" s="3" t="s">
        <v>194</v>
      </c>
      <c r="I1" s="3" t="s">
        <v>195</v>
      </c>
    </row>
    <row r="2" spans="1:9" x14ac:dyDescent="0.3">
      <c r="A2">
        <v>1001</v>
      </c>
      <c r="B2" s="3" t="s">
        <v>125</v>
      </c>
      <c r="C2" s="3" t="s">
        <v>126</v>
      </c>
      <c r="D2" s="3" t="s">
        <v>127</v>
      </c>
      <c r="E2" s="3" t="s">
        <v>39</v>
      </c>
      <c r="F2" s="3" t="s">
        <v>128</v>
      </c>
      <c r="G2" s="3" t="s">
        <v>125</v>
      </c>
      <c r="H2" s="3" t="s">
        <v>126</v>
      </c>
      <c r="I2" s="3" t="s">
        <v>188</v>
      </c>
    </row>
    <row r="3" spans="1:9" x14ac:dyDescent="0.3">
      <c r="A3">
        <v>1002</v>
      </c>
      <c r="B3" s="3" t="s">
        <v>129</v>
      </c>
      <c r="C3" s="3" t="s">
        <v>130</v>
      </c>
      <c r="D3" s="3" t="s">
        <v>131</v>
      </c>
      <c r="E3" s="3" t="s">
        <v>39</v>
      </c>
      <c r="F3" s="3" t="s">
        <v>132</v>
      </c>
      <c r="G3" s="3" t="s">
        <v>129</v>
      </c>
      <c r="H3" s="3" t="s">
        <v>189</v>
      </c>
      <c r="I3" s="3" t="s">
        <v>188</v>
      </c>
    </row>
    <row r="4" spans="1:9" x14ac:dyDescent="0.3">
      <c r="A4">
        <v>1003</v>
      </c>
      <c r="B4" s="3" t="s">
        <v>125</v>
      </c>
      <c r="C4" s="3" t="s">
        <v>133</v>
      </c>
      <c r="D4" s="3" t="s">
        <v>134</v>
      </c>
      <c r="E4" s="3" t="s">
        <v>39</v>
      </c>
      <c r="F4" s="3" t="s">
        <v>135</v>
      </c>
      <c r="G4" s="3" t="s">
        <v>125</v>
      </c>
      <c r="H4" s="3" t="s">
        <v>133</v>
      </c>
      <c r="I4" s="3" t="s">
        <v>188</v>
      </c>
    </row>
    <row r="5" spans="1:9" x14ac:dyDescent="0.3">
      <c r="A5">
        <v>1004</v>
      </c>
      <c r="B5" s="3" t="s">
        <v>125</v>
      </c>
      <c r="C5" s="3" t="s">
        <v>133</v>
      </c>
      <c r="D5" s="3" t="s">
        <v>134</v>
      </c>
      <c r="E5" s="3" t="s">
        <v>40</v>
      </c>
      <c r="F5" s="3" t="s">
        <v>135</v>
      </c>
      <c r="G5" s="3" t="s">
        <v>125</v>
      </c>
      <c r="H5" s="3" t="s">
        <v>133</v>
      </c>
      <c r="I5" s="3" t="s">
        <v>188</v>
      </c>
    </row>
    <row r="6" spans="1:9" x14ac:dyDescent="0.3">
      <c r="A6">
        <v>1005</v>
      </c>
      <c r="B6" s="3" t="s">
        <v>129</v>
      </c>
      <c r="C6" s="3" t="s">
        <v>136</v>
      </c>
      <c r="D6" s="3" t="s">
        <v>137</v>
      </c>
      <c r="E6" s="3" t="s">
        <v>40</v>
      </c>
      <c r="F6" s="3" t="s">
        <v>138</v>
      </c>
      <c r="G6" s="3" t="s">
        <v>129</v>
      </c>
      <c r="H6" s="3" t="s">
        <v>136</v>
      </c>
      <c r="I6" s="3" t="s">
        <v>188</v>
      </c>
    </row>
    <row r="7" spans="1:9" x14ac:dyDescent="0.3">
      <c r="A7">
        <v>1006</v>
      </c>
      <c r="B7" s="3" t="s">
        <v>139</v>
      </c>
      <c r="C7" s="3" t="s">
        <v>136</v>
      </c>
      <c r="D7" s="3" t="s">
        <v>140</v>
      </c>
      <c r="E7" s="3" t="s">
        <v>37</v>
      </c>
      <c r="F7" s="3" t="s">
        <v>141</v>
      </c>
      <c r="G7" s="3" t="s">
        <v>139</v>
      </c>
      <c r="H7" s="3" t="s">
        <v>136</v>
      </c>
      <c r="I7" s="3" t="s">
        <v>188</v>
      </c>
    </row>
    <row r="8" spans="1:9" x14ac:dyDescent="0.3">
      <c r="A8">
        <v>1007</v>
      </c>
      <c r="B8" s="3" t="s">
        <v>129</v>
      </c>
      <c r="C8" s="3" t="s">
        <v>142</v>
      </c>
      <c r="D8" s="3" t="s">
        <v>143</v>
      </c>
      <c r="E8" s="3" t="s">
        <v>38</v>
      </c>
      <c r="F8" s="3" t="s">
        <v>144</v>
      </c>
      <c r="G8" s="3" t="s">
        <v>129</v>
      </c>
      <c r="H8" s="3" t="s">
        <v>142</v>
      </c>
      <c r="I8" s="3" t="s">
        <v>188</v>
      </c>
    </row>
    <row r="9" spans="1:9" x14ac:dyDescent="0.3">
      <c r="A9">
        <v>1008</v>
      </c>
      <c r="B9" s="3" t="s">
        <v>145</v>
      </c>
      <c r="C9" s="3" t="s">
        <v>136</v>
      </c>
      <c r="D9" s="3" t="s">
        <v>146</v>
      </c>
      <c r="E9" s="3" t="s">
        <v>39</v>
      </c>
      <c r="F9" s="3" t="s">
        <v>147</v>
      </c>
      <c r="G9" s="3" t="s">
        <v>145</v>
      </c>
      <c r="H9" s="3" t="s">
        <v>136</v>
      </c>
      <c r="I9" s="3" t="s">
        <v>188</v>
      </c>
    </row>
    <row r="10" spans="1:9" x14ac:dyDescent="0.3">
      <c r="A10">
        <v>1009</v>
      </c>
      <c r="B10" s="3" t="s">
        <v>148</v>
      </c>
      <c r="C10" s="3" t="s">
        <v>142</v>
      </c>
      <c r="D10" s="3" t="s">
        <v>149</v>
      </c>
      <c r="E10" s="3" t="s">
        <v>40</v>
      </c>
      <c r="F10" s="3" t="s">
        <v>150</v>
      </c>
      <c r="G10" s="3" t="s">
        <v>148</v>
      </c>
      <c r="H10" s="3" t="s">
        <v>142</v>
      </c>
      <c r="I10" s="3" t="s">
        <v>188</v>
      </c>
    </row>
    <row r="11" spans="1:9" x14ac:dyDescent="0.3">
      <c r="A11">
        <v>1010</v>
      </c>
      <c r="B11" s="3" t="s">
        <v>151</v>
      </c>
      <c r="C11" s="3" t="s">
        <v>152</v>
      </c>
      <c r="D11" s="3" t="s">
        <v>153</v>
      </c>
      <c r="E11" s="3" t="s">
        <v>39</v>
      </c>
      <c r="F11" s="3" t="s">
        <v>154</v>
      </c>
      <c r="G11" s="3" t="s">
        <v>151</v>
      </c>
      <c r="H11" s="3" t="s">
        <v>152</v>
      </c>
      <c r="I11" s="3" t="s">
        <v>188</v>
      </c>
    </row>
    <row r="12" spans="1:9" x14ac:dyDescent="0.3">
      <c r="A12">
        <v>1011</v>
      </c>
      <c r="B12" s="3" t="s">
        <v>151</v>
      </c>
      <c r="C12" s="3" t="s">
        <v>155</v>
      </c>
      <c r="D12" s="3" t="s">
        <v>156</v>
      </c>
      <c r="E12" s="3" t="s">
        <v>37</v>
      </c>
      <c r="F12" s="3" t="s">
        <v>157</v>
      </c>
      <c r="G12" s="3" t="s">
        <v>151</v>
      </c>
      <c r="H12" s="3" t="s">
        <v>155</v>
      </c>
      <c r="I12" s="3" t="s">
        <v>188</v>
      </c>
    </row>
    <row r="13" spans="1:9" x14ac:dyDescent="0.3">
      <c r="A13">
        <v>1012</v>
      </c>
      <c r="B13" s="3" t="s">
        <v>125</v>
      </c>
      <c r="C13" s="3" t="s">
        <v>130</v>
      </c>
      <c r="D13" s="3" t="s">
        <v>158</v>
      </c>
      <c r="E13" s="3" t="s">
        <v>39</v>
      </c>
      <c r="F13" s="3" t="s">
        <v>159</v>
      </c>
      <c r="G13" s="3" t="s">
        <v>125</v>
      </c>
      <c r="H13" s="3" t="s">
        <v>189</v>
      </c>
      <c r="I13" s="3" t="s">
        <v>188</v>
      </c>
    </row>
    <row r="14" spans="1:9" x14ac:dyDescent="0.3">
      <c r="A14">
        <v>1013</v>
      </c>
      <c r="B14" s="3" t="s">
        <v>145</v>
      </c>
      <c r="C14" s="3" t="s">
        <v>130</v>
      </c>
      <c r="D14" s="3" t="s">
        <v>160</v>
      </c>
      <c r="E14" s="3" t="s">
        <v>37</v>
      </c>
      <c r="F14" s="3" t="s">
        <v>161</v>
      </c>
      <c r="G14" s="3" t="s">
        <v>145</v>
      </c>
      <c r="H14" s="3" t="s">
        <v>189</v>
      </c>
      <c r="I14" s="3" t="s">
        <v>188</v>
      </c>
    </row>
    <row r="15" spans="1:9" x14ac:dyDescent="0.3">
      <c r="A15">
        <v>1014</v>
      </c>
      <c r="B15" s="3" t="s">
        <v>151</v>
      </c>
      <c r="C15" s="3" t="s">
        <v>162</v>
      </c>
      <c r="D15" s="3" t="s">
        <v>163</v>
      </c>
      <c r="E15" s="3" t="s">
        <v>39</v>
      </c>
      <c r="F15" s="3" t="s">
        <v>164</v>
      </c>
      <c r="G15" s="3" t="s">
        <v>151</v>
      </c>
      <c r="H15" s="3" t="s">
        <v>162</v>
      </c>
      <c r="I15" s="3" t="s">
        <v>188</v>
      </c>
    </row>
    <row r="16" spans="1:9" x14ac:dyDescent="0.3">
      <c r="A16">
        <v>1015</v>
      </c>
      <c r="B16" s="3" t="s">
        <v>151</v>
      </c>
      <c r="C16" s="3" t="s">
        <v>155</v>
      </c>
      <c r="D16" s="3" t="s">
        <v>156</v>
      </c>
      <c r="E16" s="3" t="s">
        <v>37</v>
      </c>
      <c r="F16" s="3" t="s">
        <v>157</v>
      </c>
      <c r="G16" s="3" t="s">
        <v>151</v>
      </c>
      <c r="H16" s="3" t="s">
        <v>155</v>
      </c>
      <c r="I16" s="3" t="s">
        <v>188</v>
      </c>
    </row>
    <row r="17" spans="1:9" x14ac:dyDescent="0.3">
      <c r="A17">
        <v>1016</v>
      </c>
      <c r="B17" s="3" t="s">
        <v>145</v>
      </c>
      <c r="C17" s="3" t="s">
        <v>142</v>
      </c>
      <c r="D17" s="3" t="s">
        <v>165</v>
      </c>
      <c r="E17" s="3" t="s">
        <v>38</v>
      </c>
      <c r="F17" s="3" t="s">
        <v>166</v>
      </c>
      <c r="G17" s="3" t="s">
        <v>145</v>
      </c>
      <c r="H17" s="3" t="s">
        <v>142</v>
      </c>
      <c r="I17" s="3" t="s">
        <v>188</v>
      </c>
    </row>
    <row r="18" spans="1:9" x14ac:dyDescent="0.3">
      <c r="A18">
        <v>1017</v>
      </c>
      <c r="B18" s="3" t="s">
        <v>145</v>
      </c>
      <c r="C18" s="3" t="s">
        <v>155</v>
      </c>
      <c r="D18" s="3" t="s">
        <v>167</v>
      </c>
      <c r="E18" s="3" t="s">
        <v>40</v>
      </c>
      <c r="F18" s="3" t="s">
        <v>168</v>
      </c>
      <c r="G18" s="3" t="s">
        <v>145</v>
      </c>
      <c r="H18" s="3" t="s">
        <v>155</v>
      </c>
      <c r="I18" s="3" t="s">
        <v>188</v>
      </c>
    </row>
    <row r="19" spans="1:9" x14ac:dyDescent="0.3">
      <c r="A19">
        <v>1018</v>
      </c>
      <c r="B19" s="3" t="s">
        <v>129</v>
      </c>
      <c r="C19" s="3" t="s">
        <v>162</v>
      </c>
      <c r="D19" s="3" t="s">
        <v>169</v>
      </c>
      <c r="E19" s="3" t="s">
        <v>37</v>
      </c>
      <c r="F19" s="3" t="s">
        <v>170</v>
      </c>
      <c r="G19" s="3" t="s">
        <v>129</v>
      </c>
      <c r="H19" s="3" t="s">
        <v>162</v>
      </c>
      <c r="I19" s="3" t="s">
        <v>188</v>
      </c>
    </row>
    <row r="20" spans="1:9" x14ac:dyDescent="0.3">
      <c r="A20">
        <v>1019</v>
      </c>
      <c r="B20" s="3" t="s">
        <v>125</v>
      </c>
      <c r="C20" s="3" t="s">
        <v>142</v>
      </c>
      <c r="D20" s="3" t="s">
        <v>171</v>
      </c>
      <c r="E20" s="3" t="s">
        <v>40</v>
      </c>
      <c r="F20" s="3" t="s">
        <v>172</v>
      </c>
      <c r="G20" s="3" t="s">
        <v>125</v>
      </c>
      <c r="H20" s="3" t="s">
        <v>142</v>
      </c>
      <c r="I20" s="3" t="s">
        <v>188</v>
      </c>
    </row>
    <row r="21" spans="1:9" x14ac:dyDescent="0.3">
      <c r="A21">
        <v>1020</v>
      </c>
      <c r="B21" s="3" t="s">
        <v>173</v>
      </c>
      <c r="C21" s="3" t="s">
        <v>130</v>
      </c>
      <c r="D21" s="3" t="s">
        <v>174</v>
      </c>
      <c r="E21" s="3" t="s">
        <v>38</v>
      </c>
      <c r="F21" s="3" t="s">
        <v>175</v>
      </c>
      <c r="G21" s="3" t="s">
        <v>173</v>
      </c>
      <c r="H21" s="3" t="s">
        <v>189</v>
      </c>
      <c r="I21" s="3" t="s">
        <v>188</v>
      </c>
    </row>
    <row r="22" spans="1:9" x14ac:dyDescent="0.3">
      <c r="A22">
        <v>1021</v>
      </c>
      <c r="B22" s="3" t="s">
        <v>176</v>
      </c>
      <c r="C22" s="3" t="s">
        <v>133</v>
      </c>
      <c r="D22" s="3" t="s">
        <v>177</v>
      </c>
      <c r="E22" s="3" t="s">
        <v>37</v>
      </c>
      <c r="F22" s="3" t="s">
        <v>178</v>
      </c>
      <c r="G22" s="3" t="s">
        <v>176</v>
      </c>
      <c r="H22" s="3" t="s">
        <v>133</v>
      </c>
      <c r="I22" s="3" t="s">
        <v>188</v>
      </c>
    </row>
    <row r="23" spans="1:9" x14ac:dyDescent="0.3">
      <c r="A23">
        <v>1022</v>
      </c>
      <c r="B23" s="3" t="s">
        <v>145</v>
      </c>
      <c r="C23" s="3" t="s">
        <v>130</v>
      </c>
      <c r="D23" s="3" t="s">
        <v>160</v>
      </c>
      <c r="E23" s="3" t="s">
        <v>38</v>
      </c>
      <c r="F23" s="3" t="s">
        <v>161</v>
      </c>
      <c r="G23" s="3" t="s">
        <v>145</v>
      </c>
      <c r="H23" s="3" t="s">
        <v>189</v>
      </c>
      <c r="I23" s="3" t="s">
        <v>188</v>
      </c>
    </row>
    <row r="24" spans="1:9" x14ac:dyDescent="0.3">
      <c r="A24">
        <v>1023</v>
      </c>
      <c r="B24" s="3" t="s">
        <v>179</v>
      </c>
      <c r="C24" s="3" t="s">
        <v>180</v>
      </c>
      <c r="D24" s="3" t="s">
        <v>181</v>
      </c>
      <c r="E24" s="3" t="s">
        <v>38</v>
      </c>
      <c r="F24" s="3" t="s">
        <v>182</v>
      </c>
      <c r="G24" s="3" t="s">
        <v>179</v>
      </c>
      <c r="H24" s="3" t="s">
        <v>180</v>
      </c>
      <c r="I24" s="3" t="s">
        <v>188</v>
      </c>
    </row>
    <row r="25" spans="1:9" x14ac:dyDescent="0.3">
      <c r="A25">
        <v>1024</v>
      </c>
      <c r="B25" s="3" t="s">
        <v>183</v>
      </c>
      <c r="C25" s="3" t="s">
        <v>152</v>
      </c>
      <c r="D25" s="3" t="s">
        <v>184</v>
      </c>
      <c r="E25" s="3" t="s">
        <v>39</v>
      </c>
      <c r="F25" s="3" t="s">
        <v>185</v>
      </c>
      <c r="G25" s="3" t="s">
        <v>183</v>
      </c>
      <c r="H25" s="3" t="s">
        <v>152</v>
      </c>
      <c r="I25" s="3" t="s">
        <v>188</v>
      </c>
    </row>
    <row r="26" spans="1:9" x14ac:dyDescent="0.3">
      <c r="A26">
        <v>1025</v>
      </c>
      <c r="B26" s="3" t="s">
        <v>179</v>
      </c>
      <c r="C26" s="3" t="s">
        <v>130</v>
      </c>
      <c r="D26" s="3" t="s">
        <v>186</v>
      </c>
      <c r="E26" s="3" t="s">
        <v>39</v>
      </c>
      <c r="F26" s="3" t="s">
        <v>187</v>
      </c>
      <c r="G26" s="3" t="s">
        <v>179</v>
      </c>
      <c r="H26" s="3" t="s">
        <v>189</v>
      </c>
      <c r="I26" s="3" t="s">
        <v>188</v>
      </c>
    </row>
    <row r="27" spans="1:9" x14ac:dyDescent="0.3">
      <c r="A27">
        <v>1015</v>
      </c>
      <c r="B27" s="3" t="s">
        <v>151</v>
      </c>
      <c r="C27" s="3" t="s">
        <v>155</v>
      </c>
      <c r="D27" s="3" t="s">
        <v>156</v>
      </c>
      <c r="E27" s="3" t="s">
        <v>37</v>
      </c>
      <c r="F27" s="3" t="s">
        <v>157</v>
      </c>
      <c r="G27" s="3" t="s">
        <v>151</v>
      </c>
      <c r="H27" s="3" t="s">
        <v>155</v>
      </c>
      <c r="I27" s="3" t="s">
        <v>188</v>
      </c>
    </row>
    <row r="28" spans="1:9" x14ac:dyDescent="0.3">
      <c r="A28">
        <v>1014</v>
      </c>
      <c r="B28" s="3" t="s">
        <v>151</v>
      </c>
      <c r="C28" s="3" t="s">
        <v>162</v>
      </c>
      <c r="D28" s="3" t="s">
        <v>163</v>
      </c>
      <c r="E28" s="3" t="s">
        <v>39</v>
      </c>
      <c r="F28" s="3" t="s">
        <v>164</v>
      </c>
      <c r="G28" s="3" t="s">
        <v>151</v>
      </c>
      <c r="H28" s="3" t="s">
        <v>162</v>
      </c>
      <c r="I28" s="3" t="s">
        <v>188</v>
      </c>
    </row>
    <row r="29" spans="1:9" x14ac:dyDescent="0.3">
      <c r="A29">
        <v>1018</v>
      </c>
      <c r="B29" s="3" t="s">
        <v>129</v>
      </c>
      <c r="C29" s="3" t="s">
        <v>162</v>
      </c>
      <c r="D29" s="3" t="s">
        <v>169</v>
      </c>
      <c r="E29" s="3" t="s">
        <v>37</v>
      </c>
      <c r="F29" s="3" t="s">
        <v>170</v>
      </c>
      <c r="G29" s="3" t="s">
        <v>129</v>
      </c>
      <c r="H29" s="3" t="s">
        <v>162</v>
      </c>
      <c r="I29" s="3" t="s">
        <v>188</v>
      </c>
    </row>
    <row r="30" spans="1:9" x14ac:dyDescent="0.3">
      <c r="B30" s="3"/>
      <c r="C30" s="3"/>
      <c r="D30" s="3"/>
      <c r="E30" s="3"/>
      <c r="F30" s="3"/>
      <c r="G30" s="3"/>
      <c r="H30" s="3"/>
      <c r="I30" s="3"/>
    </row>
    <row r="31" spans="1:9" x14ac:dyDescent="0.3">
      <c r="B31" s="3"/>
      <c r="C31" s="3"/>
      <c r="D31" s="3"/>
      <c r="E31" s="3"/>
      <c r="F31" s="3"/>
      <c r="G31" s="3"/>
      <c r="H31" s="3"/>
      <c r="I31" s="3"/>
    </row>
    <row r="32" spans="1:9" x14ac:dyDescent="0.3">
      <c r="B32" s="3"/>
      <c r="C32" s="3"/>
      <c r="D32" s="3"/>
      <c r="E32" s="3"/>
      <c r="F32" s="3"/>
      <c r="G32" s="3"/>
      <c r="H32" s="3"/>
      <c r="I32"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F21C3-95A3-4367-8909-B817D0B92EB1}">
  <dimension ref="A1:E16"/>
  <sheetViews>
    <sheetView workbookViewId="0">
      <selection activeCell="G1" sqref="G1"/>
    </sheetView>
  </sheetViews>
  <sheetFormatPr defaultRowHeight="14.4" x14ac:dyDescent="0.3"/>
  <cols>
    <col min="1" max="1" width="11.109375" bestFit="1" customWidth="1"/>
    <col min="2" max="2" width="10.77734375" bestFit="1" customWidth="1"/>
    <col min="3" max="3" width="10.88671875" bestFit="1" customWidth="1"/>
    <col min="4" max="4" width="10.44140625" bestFit="1" customWidth="1"/>
    <col min="5" max="5" width="10.5546875" bestFit="1" customWidth="1"/>
  </cols>
  <sheetData>
    <row r="1" spans="1:5" x14ac:dyDescent="0.3">
      <c r="A1" t="s">
        <v>4</v>
      </c>
      <c r="B1" t="s">
        <v>107</v>
      </c>
      <c r="C1" t="s">
        <v>6</v>
      </c>
      <c r="D1" t="s">
        <v>108</v>
      </c>
      <c r="E1" t="s">
        <v>109</v>
      </c>
    </row>
    <row r="2" spans="1:5" x14ac:dyDescent="0.3">
      <c r="A2" s="3" t="s">
        <v>45</v>
      </c>
      <c r="B2" s="3" t="s">
        <v>110</v>
      </c>
      <c r="C2">
        <v>1299</v>
      </c>
      <c r="D2">
        <v>469</v>
      </c>
      <c r="E2">
        <v>0.22</v>
      </c>
    </row>
    <row r="3" spans="1:5" x14ac:dyDescent="0.3">
      <c r="A3" s="3" t="s">
        <v>41</v>
      </c>
      <c r="B3" s="3" t="s">
        <v>110</v>
      </c>
      <c r="C3">
        <v>1613</v>
      </c>
      <c r="D3">
        <v>492</v>
      </c>
      <c r="E3">
        <v>0.14000000000000001</v>
      </c>
    </row>
    <row r="4" spans="1:5" x14ac:dyDescent="0.3">
      <c r="A4" s="3" t="s">
        <v>44</v>
      </c>
      <c r="B4" s="3" t="s">
        <v>110</v>
      </c>
      <c r="C4">
        <v>1402</v>
      </c>
      <c r="D4">
        <v>97</v>
      </c>
      <c r="E4">
        <v>0.08</v>
      </c>
    </row>
    <row r="5" spans="1:5" x14ac:dyDescent="0.3">
      <c r="A5" s="3" t="s">
        <v>42</v>
      </c>
      <c r="B5" s="3" t="s">
        <v>111</v>
      </c>
      <c r="C5">
        <v>106</v>
      </c>
      <c r="D5">
        <v>323</v>
      </c>
      <c r="E5">
        <v>0.1</v>
      </c>
    </row>
    <row r="6" spans="1:5" x14ac:dyDescent="0.3">
      <c r="A6" s="3" t="s">
        <v>43</v>
      </c>
      <c r="B6" s="3" t="s">
        <v>110</v>
      </c>
      <c r="C6">
        <v>396</v>
      </c>
      <c r="D6">
        <v>463</v>
      </c>
      <c r="E6">
        <v>0.23</v>
      </c>
    </row>
    <row r="7" spans="1:5" x14ac:dyDescent="0.3">
      <c r="A7" s="3" t="s">
        <v>46</v>
      </c>
      <c r="B7" s="3" t="s">
        <v>112</v>
      </c>
      <c r="C7">
        <v>1635</v>
      </c>
      <c r="D7">
        <v>136</v>
      </c>
      <c r="E7">
        <v>0.1</v>
      </c>
    </row>
    <row r="9" spans="1:5" ht="21" x14ac:dyDescent="0.4">
      <c r="A9" s="12" t="s">
        <v>198</v>
      </c>
      <c r="B9" s="10"/>
    </row>
    <row r="10" spans="1:5" x14ac:dyDescent="0.3">
      <c r="A10" t="str" cm="1">
        <f t="array" aca="1" ref="A10:B16" ca="1">OFFSET($A$2,0,0,COUNTA($A:$A)-1,2)</f>
        <v>Laptop</v>
      </c>
      <c r="B10" t="str">
        <f ca="1"/>
        <v>Electronics</v>
      </c>
    </row>
    <row r="11" spans="1:5" x14ac:dyDescent="0.3">
      <c r="A11" t="str">
        <f ca="1"/>
        <v>Tablet</v>
      </c>
      <c r="B11" t="str">
        <f ca="1"/>
        <v>Electronics</v>
      </c>
    </row>
    <row r="12" spans="1:5" x14ac:dyDescent="0.3">
      <c r="A12" t="str">
        <f ca="1"/>
        <v>Smartphone</v>
      </c>
      <c r="B12" t="str">
        <f ca="1"/>
        <v>Electronics</v>
      </c>
    </row>
    <row r="13" spans="1:5" x14ac:dyDescent="0.3">
      <c r="A13" t="str">
        <f ca="1"/>
        <v>Headphones</v>
      </c>
      <c r="B13" t="str">
        <f ca="1"/>
        <v>Accessories</v>
      </c>
    </row>
    <row r="14" spans="1:5" x14ac:dyDescent="0.3">
      <c r="A14" t="str">
        <f ca="1"/>
        <v>Monitor</v>
      </c>
      <c r="B14" t="str">
        <f ca="1"/>
        <v>Electronics</v>
      </c>
    </row>
    <row r="15" spans="1:5" x14ac:dyDescent="0.3">
      <c r="A15" t="str">
        <f ca="1"/>
        <v>Printer</v>
      </c>
      <c r="B15" t="str">
        <f ca="1"/>
        <v>Office</v>
      </c>
    </row>
    <row r="16" spans="1:5" x14ac:dyDescent="0.3">
      <c r="A16">
        <f ca="1"/>
        <v>0</v>
      </c>
      <c r="B16">
        <f ca="1"/>
        <v>0</v>
      </c>
    </row>
  </sheetData>
  <mergeCells count="1">
    <mergeCell ref="A9:B9"/>
  </mergeCell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FF1E4-C3D8-4DF7-A313-6691E2C5A89B}">
  <dimension ref="A1:D91"/>
  <sheetViews>
    <sheetView tabSelected="1" workbookViewId="0">
      <selection activeCell="D2" sqref="D2"/>
    </sheetView>
  </sheetViews>
  <sheetFormatPr defaultRowHeight="14.4" x14ac:dyDescent="0.3"/>
  <cols>
    <col min="1" max="1" width="9.77734375" bestFit="1" customWidth="1"/>
    <col min="2" max="2" width="14" bestFit="1" customWidth="1"/>
    <col min="3" max="3" width="12.6640625" bestFit="1" customWidth="1"/>
    <col min="4" max="4" width="27.6640625" customWidth="1"/>
  </cols>
  <sheetData>
    <row r="1" spans="1:4" x14ac:dyDescent="0.3">
      <c r="A1" t="s">
        <v>0</v>
      </c>
      <c r="B1" t="s">
        <v>118</v>
      </c>
      <c r="C1" t="s">
        <v>119</v>
      </c>
      <c r="D1" t="s">
        <v>120</v>
      </c>
    </row>
    <row r="2" spans="1:4" x14ac:dyDescent="0.3">
      <c r="A2" s="3" t="s">
        <v>7</v>
      </c>
      <c r="B2">
        <v>5</v>
      </c>
      <c r="C2">
        <v>0.01</v>
      </c>
      <c r="D2" t="str">
        <f>IF(AND(B2&lt;=3,C2&lt;=0.05),"Efficient", "Needs Attention")</f>
        <v>Needs Attention</v>
      </c>
    </row>
    <row r="3" spans="1:4" x14ac:dyDescent="0.3">
      <c r="A3" s="3" t="s">
        <v>8</v>
      </c>
      <c r="B3">
        <v>2</v>
      </c>
      <c r="C3">
        <v>0.03</v>
      </c>
      <c r="D3" t="str">
        <f t="shared" ref="D3:D66" si="0">IF(AND(B3&lt;=3,C3&lt;=0.05),"Efficient", "Needs Attention")</f>
        <v>Efficient</v>
      </c>
    </row>
    <row r="4" spans="1:4" x14ac:dyDescent="0.3">
      <c r="A4" s="3" t="s">
        <v>9</v>
      </c>
      <c r="B4">
        <v>6</v>
      </c>
      <c r="C4">
        <v>0.05</v>
      </c>
      <c r="D4" t="str">
        <f t="shared" si="0"/>
        <v>Needs Attention</v>
      </c>
    </row>
    <row r="5" spans="1:4" x14ac:dyDescent="0.3">
      <c r="A5" s="3" t="s">
        <v>10</v>
      </c>
      <c r="B5">
        <v>4</v>
      </c>
      <c r="C5">
        <v>7.0000000000000007E-2</v>
      </c>
      <c r="D5" t="str">
        <f t="shared" si="0"/>
        <v>Needs Attention</v>
      </c>
    </row>
    <row r="6" spans="1:4" x14ac:dyDescent="0.3">
      <c r="A6" s="3" t="s">
        <v>11</v>
      </c>
      <c r="B6">
        <v>5</v>
      </c>
      <c r="C6">
        <v>0.03</v>
      </c>
      <c r="D6" t="str">
        <f t="shared" si="0"/>
        <v>Needs Attention</v>
      </c>
    </row>
    <row r="7" spans="1:4" x14ac:dyDescent="0.3">
      <c r="A7" s="3" t="s">
        <v>12</v>
      </c>
      <c r="B7">
        <v>5</v>
      </c>
      <c r="C7">
        <v>0.06</v>
      </c>
      <c r="D7" t="str">
        <f t="shared" si="0"/>
        <v>Needs Attention</v>
      </c>
    </row>
    <row r="8" spans="1:4" x14ac:dyDescent="0.3">
      <c r="A8" s="3" t="s">
        <v>13</v>
      </c>
      <c r="B8">
        <v>4</v>
      </c>
      <c r="C8">
        <v>0.02</v>
      </c>
      <c r="D8" t="str">
        <f t="shared" si="0"/>
        <v>Needs Attention</v>
      </c>
    </row>
    <row r="9" spans="1:4" x14ac:dyDescent="0.3">
      <c r="A9" s="3" t="s">
        <v>14</v>
      </c>
      <c r="B9">
        <v>8</v>
      </c>
      <c r="C9">
        <v>7.0000000000000007E-2</v>
      </c>
      <c r="D9" t="str">
        <f t="shared" si="0"/>
        <v>Needs Attention</v>
      </c>
    </row>
    <row r="10" spans="1:4" x14ac:dyDescent="0.3">
      <c r="A10" s="3" t="s">
        <v>15</v>
      </c>
      <c r="B10">
        <v>2</v>
      </c>
      <c r="C10">
        <v>0.08</v>
      </c>
      <c r="D10" t="str">
        <f t="shared" si="0"/>
        <v>Needs Attention</v>
      </c>
    </row>
    <row r="11" spans="1:4" x14ac:dyDescent="0.3">
      <c r="A11" s="3" t="s">
        <v>16</v>
      </c>
      <c r="B11">
        <v>2</v>
      </c>
      <c r="C11">
        <v>0.08</v>
      </c>
      <c r="D11" t="str">
        <f t="shared" si="0"/>
        <v>Needs Attention</v>
      </c>
    </row>
    <row r="12" spans="1:4" x14ac:dyDescent="0.3">
      <c r="A12" s="3" t="s">
        <v>17</v>
      </c>
      <c r="B12">
        <v>8</v>
      </c>
      <c r="C12">
        <v>0.06</v>
      </c>
      <c r="D12" t="str">
        <f t="shared" si="0"/>
        <v>Needs Attention</v>
      </c>
    </row>
    <row r="13" spans="1:4" x14ac:dyDescent="0.3">
      <c r="A13" s="3" t="s">
        <v>18</v>
      </c>
      <c r="B13">
        <v>8</v>
      </c>
      <c r="C13">
        <v>0.03</v>
      </c>
      <c r="D13" t="str">
        <f t="shared" si="0"/>
        <v>Needs Attention</v>
      </c>
    </row>
    <row r="14" spans="1:4" x14ac:dyDescent="0.3">
      <c r="A14" s="3" t="s">
        <v>19</v>
      </c>
      <c r="B14">
        <v>1</v>
      </c>
      <c r="C14">
        <v>7.0000000000000007E-2</v>
      </c>
      <c r="D14" t="str">
        <f t="shared" si="0"/>
        <v>Needs Attention</v>
      </c>
    </row>
    <row r="15" spans="1:4" x14ac:dyDescent="0.3">
      <c r="A15" s="3" t="s">
        <v>20</v>
      </c>
      <c r="B15">
        <v>3</v>
      </c>
      <c r="C15">
        <v>0.09</v>
      </c>
      <c r="D15" t="str">
        <f t="shared" si="0"/>
        <v>Needs Attention</v>
      </c>
    </row>
    <row r="16" spans="1:4" x14ac:dyDescent="0.3">
      <c r="A16" s="3" t="s">
        <v>21</v>
      </c>
      <c r="B16">
        <v>4</v>
      </c>
      <c r="C16">
        <v>0.06</v>
      </c>
      <c r="D16" t="str">
        <f t="shared" si="0"/>
        <v>Needs Attention</v>
      </c>
    </row>
    <row r="17" spans="1:4" x14ac:dyDescent="0.3">
      <c r="A17" s="3" t="s">
        <v>22</v>
      </c>
      <c r="B17">
        <v>3</v>
      </c>
      <c r="C17">
        <v>0.1</v>
      </c>
      <c r="D17" t="str">
        <f t="shared" si="0"/>
        <v>Needs Attention</v>
      </c>
    </row>
    <row r="18" spans="1:4" x14ac:dyDescent="0.3">
      <c r="A18" s="3" t="s">
        <v>23</v>
      </c>
      <c r="B18">
        <v>6</v>
      </c>
      <c r="C18">
        <v>0.1</v>
      </c>
      <c r="D18" t="str">
        <f t="shared" si="0"/>
        <v>Needs Attention</v>
      </c>
    </row>
    <row r="19" spans="1:4" x14ac:dyDescent="0.3">
      <c r="A19" s="3" t="s">
        <v>24</v>
      </c>
      <c r="B19">
        <v>9</v>
      </c>
      <c r="C19">
        <v>0.02</v>
      </c>
      <c r="D19" t="str">
        <f t="shared" si="0"/>
        <v>Needs Attention</v>
      </c>
    </row>
    <row r="20" spans="1:4" x14ac:dyDescent="0.3">
      <c r="A20" s="3" t="s">
        <v>25</v>
      </c>
      <c r="B20">
        <v>2</v>
      </c>
      <c r="C20">
        <v>0</v>
      </c>
      <c r="D20" t="str">
        <f t="shared" si="0"/>
        <v>Efficient</v>
      </c>
    </row>
    <row r="21" spans="1:4" x14ac:dyDescent="0.3">
      <c r="A21" s="3" t="s">
        <v>26</v>
      </c>
      <c r="B21">
        <v>1</v>
      </c>
      <c r="C21">
        <v>0.02</v>
      </c>
      <c r="D21" t="str">
        <f t="shared" si="0"/>
        <v>Efficient</v>
      </c>
    </row>
    <row r="22" spans="1:4" x14ac:dyDescent="0.3">
      <c r="A22" s="3" t="s">
        <v>27</v>
      </c>
      <c r="B22">
        <v>8</v>
      </c>
      <c r="C22">
        <v>0.09</v>
      </c>
      <c r="D22" t="str">
        <f t="shared" si="0"/>
        <v>Needs Attention</v>
      </c>
    </row>
    <row r="23" spans="1:4" x14ac:dyDescent="0.3">
      <c r="A23" s="3" t="s">
        <v>28</v>
      </c>
      <c r="B23">
        <v>7</v>
      </c>
      <c r="C23">
        <v>0.1</v>
      </c>
      <c r="D23" t="str">
        <f t="shared" si="0"/>
        <v>Needs Attention</v>
      </c>
    </row>
    <row r="24" spans="1:4" x14ac:dyDescent="0.3">
      <c r="A24" s="3" t="s">
        <v>29</v>
      </c>
      <c r="B24">
        <v>3</v>
      </c>
      <c r="C24">
        <v>0.02</v>
      </c>
      <c r="D24" t="str">
        <f t="shared" si="0"/>
        <v>Efficient</v>
      </c>
    </row>
    <row r="25" spans="1:4" x14ac:dyDescent="0.3">
      <c r="A25" s="3" t="s">
        <v>30</v>
      </c>
      <c r="B25">
        <v>1</v>
      </c>
      <c r="C25">
        <v>0.04</v>
      </c>
      <c r="D25" t="str">
        <f t="shared" si="0"/>
        <v>Efficient</v>
      </c>
    </row>
    <row r="26" spans="1:4" x14ac:dyDescent="0.3">
      <c r="A26" s="3" t="s">
        <v>31</v>
      </c>
      <c r="B26">
        <v>9</v>
      </c>
      <c r="C26">
        <v>0.05</v>
      </c>
      <c r="D26" t="str">
        <f t="shared" si="0"/>
        <v>Needs Attention</v>
      </c>
    </row>
    <row r="27" spans="1:4" x14ac:dyDescent="0.3">
      <c r="A27" s="3" t="s">
        <v>32</v>
      </c>
      <c r="B27">
        <v>3</v>
      </c>
      <c r="C27">
        <v>0.03</v>
      </c>
      <c r="D27" t="str">
        <f t="shared" si="0"/>
        <v>Efficient</v>
      </c>
    </row>
    <row r="28" spans="1:4" x14ac:dyDescent="0.3">
      <c r="A28" s="3" t="s">
        <v>33</v>
      </c>
      <c r="B28">
        <v>6</v>
      </c>
      <c r="C28">
        <v>0.05</v>
      </c>
      <c r="D28" t="str">
        <f t="shared" si="0"/>
        <v>Needs Attention</v>
      </c>
    </row>
    <row r="29" spans="1:4" x14ac:dyDescent="0.3">
      <c r="A29" s="3" t="s">
        <v>34</v>
      </c>
      <c r="B29">
        <v>2</v>
      </c>
      <c r="C29">
        <v>7.0000000000000007E-2</v>
      </c>
      <c r="D29" t="str">
        <f t="shared" si="0"/>
        <v>Needs Attention</v>
      </c>
    </row>
    <row r="30" spans="1:4" x14ac:dyDescent="0.3">
      <c r="A30" s="3" t="s">
        <v>35</v>
      </c>
      <c r="B30">
        <v>9</v>
      </c>
      <c r="C30">
        <v>0.05</v>
      </c>
      <c r="D30" t="str">
        <f t="shared" si="0"/>
        <v>Needs Attention</v>
      </c>
    </row>
    <row r="31" spans="1:4" x14ac:dyDescent="0.3">
      <c r="A31" s="3" t="s">
        <v>36</v>
      </c>
      <c r="B31">
        <v>2</v>
      </c>
      <c r="C31">
        <v>7.0000000000000007E-2</v>
      </c>
      <c r="D31" t="str">
        <f t="shared" si="0"/>
        <v>Needs Attention</v>
      </c>
    </row>
    <row r="32" spans="1:4" x14ac:dyDescent="0.3">
      <c r="A32" s="3" t="s">
        <v>47</v>
      </c>
      <c r="B32">
        <v>6</v>
      </c>
      <c r="C32">
        <v>0.05</v>
      </c>
      <c r="D32" t="str">
        <f t="shared" si="0"/>
        <v>Needs Attention</v>
      </c>
    </row>
    <row r="33" spans="1:4" x14ac:dyDescent="0.3">
      <c r="A33" s="3" t="s">
        <v>48</v>
      </c>
      <c r="B33">
        <v>5</v>
      </c>
      <c r="C33">
        <v>0</v>
      </c>
      <c r="D33" t="str">
        <f t="shared" si="0"/>
        <v>Needs Attention</v>
      </c>
    </row>
    <row r="34" spans="1:4" x14ac:dyDescent="0.3">
      <c r="A34" s="3" t="s">
        <v>49</v>
      </c>
      <c r="B34">
        <v>3</v>
      </c>
      <c r="C34">
        <v>0.04</v>
      </c>
      <c r="D34" t="str">
        <f t="shared" si="0"/>
        <v>Efficient</v>
      </c>
    </row>
    <row r="35" spans="1:4" x14ac:dyDescent="0.3">
      <c r="A35" s="3" t="s">
        <v>50</v>
      </c>
      <c r="B35">
        <v>9</v>
      </c>
      <c r="C35">
        <v>0.05</v>
      </c>
      <c r="D35" t="str">
        <f t="shared" si="0"/>
        <v>Needs Attention</v>
      </c>
    </row>
    <row r="36" spans="1:4" x14ac:dyDescent="0.3">
      <c r="A36" s="3" t="s">
        <v>51</v>
      </c>
      <c r="B36">
        <v>4</v>
      </c>
      <c r="C36">
        <v>0.04</v>
      </c>
      <c r="D36" t="str">
        <f t="shared" si="0"/>
        <v>Needs Attention</v>
      </c>
    </row>
    <row r="37" spans="1:4" x14ac:dyDescent="0.3">
      <c r="A37" s="3" t="s">
        <v>52</v>
      </c>
      <c r="B37">
        <v>6</v>
      </c>
      <c r="C37">
        <v>0.04</v>
      </c>
      <c r="D37" t="str">
        <f t="shared" si="0"/>
        <v>Needs Attention</v>
      </c>
    </row>
    <row r="38" spans="1:4" x14ac:dyDescent="0.3">
      <c r="A38" s="3" t="s">
        <v>53</v>
      </c>
      <c r="B38">
        <v>1</v>
      </c>
      <c r="C38">
        <v>0.05</v>
      </c>
      <c r="D38" t="str">
        <f t="shared" si="0"/>
        <v>Efficient</v>
      </c>
    </row>
    <row r="39" spans="1:4" x14ac:dyDescent="0.3">
      <c r="A39" s="3" t="s">
        <v>54</v>
      </c>
      <c r="B39">
        <v>4</v>
      </c>
      <c r="C39">
        <v>0.04</v>
      </c>
      <c r="D39" t="str">
        <f t="shared" si="0"/>
        <v>Needs Attention</v>
      </c>
    </row>
    <row r="40" spans="1:4" x14ac:dyDescent="0.3">
      <c r="A40" s="3" t="s">
        <v>55</v>
      </c>
      <c r="B40">
        <v>7</v>
      </c>
      <c r="C40">
        <v>0.01</v>
      </c>
      <c r="D40" t="str">
        <f t="shared" si="0"/>
        <v>Needs Attention</v>
      </c>
    </row>
    <row r="41" spans="1:4" x14ac:dyDescent="0.3">
      <c r="A41" s="3" t="s">
        <v>56</v>
      </c>
      <c r="B41">
        <v>4</v>
      </c>
      <c r="C41">
        <v>0.03</v>
      </c>
      <c r="D41" t="str">
        <f t="shared" si="0"/>
        <v>Needs Attention</v>
      </c>
    </row>
    <row r="42" spans="1:4" x14ac:dyDescent="0.3">
      <c r="A42" s="3" t="s">
        <v>57</v>
      </c>
      <c r="B42">
        <v>5</v>
      </c>
      <c r="C42">
        <v>0.09</v>
      </c>
      <c r="D42" t="str">
        <f t="shared" si="0"/>
        <v>Needs Attention</v>
      </c>
    </row>
    <row r="43" spans="1:4" x14ac:dyDescent="0.3">
      <c r="A43" s="3" t="s">
        <v>58</v>
      </c>
      <c r="B43">
        <v>8</v>
      </c>
      <c r="C43">
        <v>0</v>
      </c>
      <c r="D43" t="str">
        <f t="shared" si="0"/>
        <v>Needs Attention</v>
      </c>
    </row>
    <row r="44" spans="1:4" x14ac:dyDescent="0.3">
      <c r="A44" s="3" t="s">
        <v>59</v>
      </c>
      <c r="B44">
        <v>7</v>
      </c>
      <c r="C44">
        <v>0</v>
      </c>
      <c r="D44" t="str">
        <f t="shared" si="0"/>
        <v>Needs Attention</v>
      </c>
    </row>
    <row r="45" spans="1:4" x14ac:dyDescent="0.3">
      <c r="A45" s="3" t="s">
        <v>60</v>
      </c>
      <c r="B45">
        <v>4</v>
      </c>
      <c r="C45">
        <v>0.03</v>
      </c>
      <c r="D45" t="str">
        <f t="shared" si="0"/>
        <v>Needs Attention</v>
      </c>
    </row>
    <row r="46" spans="1:4" x14ac:dyDescent="0.3">
      <c r="A46" s="3" t="s">
        <v>61</v>
      </c>
      <c r="B46">
        <v>1</v>
      </c>
      <c r="C46">
        <v>0.06</v>
      </c>
      <c r="D46" t="str">
        <f t="shared" si="0"/>
        <v>Needs Attention</v>
      </c>
    </row>
    <row r="47" spans="1:4" x14ac:dyDescent="0.3">
      <c r="A47" s="3" t="s">
        <v>62</v>
      </c>
      <c r="B47">
        <v>5</v>
      </c>
      <c r="C47">
        <v>0.1</v>
      </c>
      <c r="D47" t="str">
        <f t="shared" si="0"/>
        <v>Needs Attention</v>
      </c>
    </row>
    <row r="48" spans="1:4" x14ac:dyDescent="0.3">
      <c r="A48" s="3" t="s">
        <v>63</v>
      </c>
      <c r="B48">
        <v>5</v>
      </c>
      <c r="C48">
        <v>0.1</v>
      </c>
      <c r="D48" t="str">
        <f t="shared" si="0"/>
        <v>Needs Attention</v>
      </c>
    </row>
    <row r="49" spans="1:4" x14ac:dyDescent="0.3">
      <c r="A49" s="3" t="s">
        <v>64</v>
      </c>
      <c r="B49">
        <v>6</v>
      </c>
      <c r="C49">
        <v>0.1</v>
      </c>
      <c r="D49" t="str">
        <f t="shared" si="0"/>
        <v>Needs Attention</v>
      </c>
    </row>
    <row r="50" spans="1:4" x14ac:dyDescent="0.3">
      <c r="A50" s="3" t="s">
        <v>65</v>
      </c>
      <c r="B50">
        <v>8</v>
      </c>
      <c r="C50">
        <v>0.01</v>
      </c>
      <c r="D50" t="str">
        <f t="shared" si="0"/>
        <v>Needs Attention</v>
      </c>
    </row>
    <row r="51" spans="1:4" x14ac:dyDescent="0.3">
      <c r="A51" s="3" t="s">
        <v>66</v>
      </c>
      <c r="B51">
        <v>7</v>
      </c>
      <c r="C51">
        <v>7.0000000000000007E-2</v>
      </c>
      <c r="D51" t="str">
        <f t="shared" si="0"/>
        <v>Needs Attention</v>
      </c>
    </row>
    <row r="52" spans="1:4" x14ac:dyDescent="0.3">
      <c r="A52" s="3" t="s">
        <v>67</v>
      </c>
      <c r="B52">
        <v>7</v>
      </c>
      <c r="C52">
        <v>0.05</v>
      </c>
      <c r="D52" t="str">
        <f t="shared" si="0"/>
        <v>Needs Attention</v>
      </c>
    </row>
    <row r="53" spans="1:4" x14ac:dyDescent="0.3">
      <c r="A53" s="3" t="s">
        <v>68</v>
      </c>
      <c r="B53">
        <v>3</v>
      </c>
      <c r="C53">
        <v>0.02</v>
      </c>
      <c r="D53" t="str">
        <f t="shared" si="0"/>
        <v>Efficient</v>
      </c>
    </row>
    <row r="54" spans="1:4" x14ac:dyDescent="0.3">
      <c r="A54" s="3" t="s">
        <v>69</v>
      </c>
      <c r="B54">
        <v>5</v>
      </c>
      <c r="C54">
        <v>0.09</v>
      </c>
      <c r="D54" t="str">
        <f t="shared" si="0"/>
        <v>Needs Attention</v>
      </c>
    </row>
    <row r="55" spans="1:4" x14ac:dyDescent="0.3">
      <c r="A55" s="3" t="s">
        <v>70</v>
      </c>
      <c r="B55">
        <v>3</v>
      </c>
      <c r="C55">
        <v>0.02</v>
      </c>
      <c r="D55" t="str">
        <f t="shared" si="0"/>
        <v>Efficient</v>
      </c>
    </row>
    <row r="56" spans="1:4" x14ac:dyDescent="0.3">
      <c r="A56" s="3" t="s">
        <v>71</v>
      </c>
      <c r="B56">
        <v>8</v>
      </c>
      <c r="C56">
        <v>0.1</v>
      </c>
      <c r="D56" t="str">
        <f t="shared" si="0"/>
        <v>Needs Attention</v>
      </c>
    </row>
    <row r="57" spans="1:4" x14ac:dyDescent="0.3">
      <c r="A57" s="3" t="s">
        <v>72</v>
      </c>
      <c r="B57">
        <v>2</v>
      </c>
      <c r="C57">
        <v>0.06</v>
      </c>
      <c r="D57" t="str">
        <f t="shared" si="0"/>
        <v>Needs Attention</v>
      </c>
    </row>
    <row r="58" spans="1:4" x14ac:dyDescent="0.3">
      <c r="A58" s="3" t="s">
        <v>73</v>
      </c>
      <c r="B58">
        <v>7</v>
      </c>
      <c r="C58">
        <v>0.02</v>
      </c>
      <c r="D58" t="str">
        <f t="shared" si="0"/>
        <v>Needs Attention</v>
      </c>
    </row>
    <row r="59" spans="1:4" x14ac:dyDescent="0.3">
      <c r="A59" s="3" t="s">
        <v>74</v>
      </c>
      <c r="B59">
        <v>7</v>
      </c>
      <c r="C59">
        <v>0.04</v>
      </c>
      <c r="D59" t="str">
        <f t="shared" si="0"/>
        <v>Needs Attention</v>
      </c>
    </row>
    <row r="60" spans="1:4" x14ac:dyDescent="0.3">
      <c r="A60" s="3" t="s">
        <v>75</v>
      </c>
      <c r="B60">
        <v>1</v>
      </c>
      <c r="C60">
        <v>0.02</v>
      </c>
      <c r="D60" t="str">
        <f t="shared" si="0"/>
        <v>Efficient</v>
      </c>
    </row>
    <row r="61" spans="1:4" x14ac:dyDescent="0.3">
      <c r="A61" s="3" t="s">
        <v>76</v>
      </c>
      <c r="B61">
        <v>8</v>
      </c>
      <c r="C61">
        <v>0.04</v>
      </c>
      <c r="D61" t="str">
        <f t="shared" si="0"/>
        <v>Needs Attention</v>
      </c>
    </row>
    <row r="62" spans="1:4" x14ac:dyDescent="0.3">
      <c r="A62" s="3" t="s">
        <v>77</v>
      </c>
      <c r="B62">
        <v>3</v>
      </c>
      <c r="C62">
        <v>0.06</v>
      </c>
      <c r="D62" t="str">
        <f t="shared" si="0"/>
        <v>Needs Attention</v>
      </c>
    </row>
    <row r="63" spans="1:4" x14ac:dyDescent="0.3">
      <c r="A63" s="3" t="s">
        <v>78</v>
      </c>
      <c r="B63">
        <v>4</v>
      </c>
      <c r="C63">
        <v>7.0000000000000007E-2</v>
      </c>
      <c r="D63" t="str">
        <f t="shared" si="0"/>
        <v>Needs Attention</v>
      </c>
    </row>
    <row r="64" spans="1:4" x14ac:dyDescent="0.3">
      <c r="A64" s="3" t="s">
        <v>79</v>
      </c>
      <c r="B64">
        <v>6</v>
      </c>
      <c r="C64">
        <v>0.05</v>
      </c>
      <c r="D64" t="str">
        <f t="shared" si="0"/>
        <v>Needs Attention</v>
      </c>
    </row>
    <row r="65" spans="1:4" x14ac:dyDescent="0.3">
      <c r="A65" s="3" t="s">
        <v>80</v>
      </c>
      <c r="B65">
        <v>5</v>
      </c>
      <c r="C65">
        <v>0.03</v>
      </c>
      <c r="D65" t="str">
        <f t="shared" si="0"/>
        <v>Needs Attention</v>
      </c>
    </row>
    <row r="66" spans="1:4" x14ac:dyDescent="0.3">
      <c r="A66" s="3" t="s">
        <v>81</v>
      </c>
      <c r="B66">
        <v>3</v>
      </c>
      <c r="C66">
        <v>0.06</v>
      </c>
      <c r="D66" t="str">
        <f t="shared" si="0"/>
        <v>Needs Attention</v>
      </c>
    </row>
    <row r="67" spans="1:4" x14ac:dyDescent="0.3">
      <c r="A67" s="3" t="s">
        <v>82</v>
      </c>
      <c r="B67">
        <v>5</v>
      </c>
      <c r="C67">
        <v>0.04</v>
      </c>
      <c r="D67" t="str">
        <f t="shared" ref="D67:D91" si="1">IF(AND(B67&lt;=3,C67&lt;=0.05),"Efficient", "Needs Attention")</f>
        <v>Needs Attention</v>
      </c>
    </row>
    <row r="68" spans="1:4" x14ac:dyDescent="0.3">
      <c r="A68" s="3" t="s">
        <v>83</v>
      </c>
      <c r="B68">
        <v>4</v>
      </c>
      <c r="C68">
        <v>0.04</v>
      </c>
      <c r="D68" t="str">
        <f t="shared" si="1"/>
        <v>Needs Attention</v>
      </c>
    </row>
    <row r="69" spans="1:4" x14ac:dyDescent="0.3">
      <c r="A69" s="3" t="s">
        <v>84</v>
      </c>
      <c r="B69">
        <v>8</v>
      </c>
      <c r="C69">
        <v>0.03</v>
      </c>
      <c r="D69" t="str">
        <f t="shared" si="1"/>
        <v>Needs Attention</v>
      </c>
    </row>
    <row r="70" spans="1:4" x14ac:dyDescent="0.3">
      <c r="A70" s="3" t="s">
        <v>85</v>
      </c>
      <c r="B70">
        <v>1</v>
      </c>
      <c r="C70">
        <v>0.02</v>
      </c>
      <c r="D70" t="str">
        <f t="shared" si="1"/>
        <v>Efficient</v>
      </c>
    </row>
    <row r="71" spans="1:4" x14ac:dyDescent="0.3">
      <c r="A71" s="3" t="s">
        <v>86</v>
      </c>
      <c r="B71">
        <v>1</v>
      </c>
      <c r="C71">
        <v>0.05</v>
      </c>
      <c r="D71" t="str">
        <f t="shared" si="1"/>
        <v>Efficient</v>
      </c>
    </row>
    <row r="72" spans="1:4" x14ac:dyDescent="0.3">
      <c r="A72" s="3" t="s">
        <v>87</v>
      </c>
      <c r="B72">
        <v>6</v>
      </c>
      <c r="C72">
        <v>0.05</v>
      </c>
      <c r="D72" t="str">
        <f t="shared" si="1"/>
        <v>Needs Attention</v>
      </c>
    </row>
    <row r="73" spans="1:4" x14ac:dyDescent="0.3">
      <c r="A73" s="3" t="s">
        <v>88</v>
      </c>
      <c r="B73">
        <v>7</v>
      </c>
      <c r="C73">
        <v>0.09</v>
      </c>
      <c r="D73" t="str">
        <f t="shared" si="1"/>
        <v>Needs Attention</v>
      </c>
    </row>
    <row r="74" spans="1:4" x14ac:dyDescent="0.3">
      <c r="A74" s="3" t="s">
        <v>89</v>
      </c>
      <c r="B74">
        <v>7</v>
      </c>
      <c r="C74">
        <v>7.0000000000000007E-2</v>
      </c>
      <c r="D74" t="str">
        <f t="shared" si="1"/>
        <v>Needs Attention</v>
      </c>
    </row>
    <row r="75" spans="1:4" x14ac:dyDescent="0.3">
      <c r="A75" s="3" t="s">
        <v>90</v>
      </c>
      <c r="B75">
        <v>6</v>
      </c>
      <c r="C75">
        <v>0.08</v>
      </c>
      <c r="D75" t="str">
        <f t="shared" si="1"/>
        <v>Needs Attention</v>
      </c>
    </row>
    <row r="76" spans="1:4" x14ac:dyDescent="0.3">
      <c r="A76" s="3" t="s">
        <v>91</v>
      </c>
      <c r="B76">
        <v>7</v>
      </c>
      <c r="C76">
        <v>0.04</v>
      </c>
      <c r="D76" t="str">
        <f t="shared" si="1"/>
        <v>Needs Attention</v>
      </c>
    </row>
    <row r="77" spans="1:4" x14ac:dyDescent="0.3">
      <c r="A77" s="3" t="s">
        <v>92</v>
      </c>
      <c r="B77">
        <v>5</v>
      </c>
      <c r="C77">
        <v>0.03</v>
      </c>
      <c r="D77" t="str">
        <f t="shared" si="1"/>
        <v>Needs Attention</v>
      </c>
    </row>
    <row r="78" spans="1:4" x14ac:dyDescent="0.3">
      <c r="A78" s="3" t="s">
        <v>93</v>
      </c>
      <c r="B78">
        <v>8</v>
      </c>
      <c r="C78">
        <v>7.0000000000000007E-2</v>
      </c>
      <c r="D78" t="str">
        <f t="shared" si="1"/>
        <v>Needs Attention</v>
      </c>
    </row>
    <row r="79" spans="1:4" x14ac:dyDescent="0.3">
      <c r="A79" s="3" t="s">
        <v>94</v>
      </c>
      <c r="B79">
        <v>4</v>
      </c>
      <c r="C79">
        <v>7.0000000000000007E-2</v>
      </c>
      <c r="D79" t="str">
        <f t="shared" si="1"/>
        <v>Needs Attention</v>
      </c>
    </row>
    <row r="80" spans="1:4" x14ac:dyDescent="0.3">
      <c r="A80" s="3" t="s">
        <v>95</v>
      </c>
      <c r="B80">
        <v>3</v>
      </c>
      <c r="C80">
        <v>0.01</v>
      </c>
      <c r="D80" t="str">
        <f t="shared" si="1"/>
        <v>Efficient</v>
      </c>
    </row>
    <row r="81" spans="1:4" x14ac:dyDescent="0.3">
      <c r="A81" s="3" t="s">
        <v>96</v>
      </c>
      <c r="B81">
        <v>4</v>
      </c>
      <c r="C81">
        <v>0.01</v>
      </c>
      <c r="D81" t="str">
        <f t="shared" si="1"/>
        <v>Needs Attention</v>
      </c>
    </row>
    <row r="82" spans="1:4" x14ac:dyDescent="0.3">
      <c r="A82" s="3" t="s">
        <v>97</v>
      </c>
      <c r="B82">
        <v>9</v>
      </c>
      <c r="C82">
        <v>0.05</v>
      </c>
      <c r="D82" t="str">
        <f t="shared" si="1"/>
        <v>Needs Attention</v>
      </c>
    </row>
    <row r="83" spans="1:4" x14ac:dyDescent="0.3">
      <c r="A83" s="3" t="s">
        <v>98</v>
      </c>
      <c r="B83">
        <v>8</v>
      </c>
      <c r="C83">
        <v>0.02</v>
      </c>
      <c r="D83" t="str">
        <f t="shared" si="1"/>
        <v>Needs Attention</v>
      </c>
    </row>
    <row r="84" spans="1:4" x14ac:dyDescent="0.3">
      <c r="A84" s="3" t="s">
        <v>99</v>
      </c>
      <c r="B84">
        <v>2</v>
      </c>
      <c r="C84">
        <v>0.1</v>
      </c>
      <c r="D84" t="str">
        <f t="shared" si="1"/>
        <v>Needs Attention</v>
      </c>
    </row>
    <row r="85" spans="1:4" x14ac:dyDescent="0.3">
      <c r="A85" s="3" t="s">
        <v>100</v>
      </c>
      <c r="B85">
        <v>6</v>
      </c>
      <c r="C85">
        <v>0.08</v>
      </c>
      <c r="D85" t="str">
        <f t="shared" si="1"/>
        <v>Needs Attention</v>
      </c>
    </row>
    <row r="86" spans="1:4" x14ac:dyDescent="0.3">
      <c r="A86" s="3" t="s">
        <v>101</v>
      </c>
      <c r="B86">
        <v>4</v>
      </c>
      <c r="C86">
        <v>0.05</v>
      </c>
      <c r="D86" t="str">
        <f t="shared" si="1"/>
        <v>Needs Attention</v>
      </c>
    </row>
    <row r="87" spans="1:4" x14ac:dyDescent="0.3">
      <c r="A87" s="3" t="s">
        <v>102</v>
      </c>
      <c r="B87">
        <v>1</v>
      </c>
      <c r="C87">
        <v>0.02</v>
      </c>
      <c r="D87" t="str">
        <f t="shared" si="1"/>
        <v>Efficient</v>
      </c>
    </row>
    <row r="88" spans="1:4" x14ac:dyDescent="0.3">
      <c r="A88" s="3" t="s">
        <v>103</v>
      </c>
      <c r="B88">
        <v>7</v>
      </c>
      <c r="C88">
        <v>0.01</v>
      </c>
      <c r="D88" t="str">
        <f t="shared" si="1"/>
        <v>Needs Attention</v>
      </c>
    </row>
    <row r="89" spans="1:4" x14ac:dyDescent="0.3">
      <c r="A89" s="3" t="s">
        <v>104</v>
      </c>
      <c r="B89">
        <v>3</v>
      </c>
      <c r="C89">
        <v>0.1</v>
      </c>
      <c r="D89" t="str">
        <f t="shared" si="1"/>
        <v>Needs Attention</v>
      </c>
    </row>
    <row r="90" spans="1:4" x14ac:dyDescent="0.3">
      <c r="A90" s="3" t="s">
        <v>105</v>
      </c>
      <c r="B90">
        <v>4</v>
      </c>
      <c r="C90">
        <v>7.0000000000000007E-2</v>
      </c>
      <c r="D90" t="str">
        <f t="shared" si="1"/>
        <v>Needs Attention</v>
      </c>
    </row>
    <row r="91" spans="1:4" x14ac:dyDescent="0.3">
      <c r="A91" s="3" t="s">
        <v>106</v>
      </c>
      <c r="B91">
        <v>5</v>
      </c>
      <c r="C91">
        <v>0.09</v>
      </c>
      <c r="D91" t="str">
        <f t="shared" si="1"/>
        <v>Needs Attention</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5998D-1D96-438A-B112-5B32784E47FD}">
  <dimension ref="A1:E13"/>
  <sheetViews>
    <sheetView workbookViewId="0">
      <selection activeCell="B13" sqref="B13"/>
    </sheetView>
  </sheetViews>
  <sheetFormatPr defaultRowHeight="14.4" x14ac:dyDescent="0.3"/>
  <cols>
    <col min="1" max="1" width="18.88671875" style="5" customWidth="1"/>
    <col min="2" max="2" width="16.21875" style="8" customWidth="1"/>
    <col min="3" max="3" width="15.21875" style="8" customWidth="1"/>
    <col min="4" max="4" width="15.77734375" style="8" bestFit="1" customWidth="1"/>
    <col min="5" max="5" width="19.21875" style="7" customWidth="1"/>
  </cols>
  <sheetData>
    <row r="1" spans="1:5" x14ac:dyDescent="0.3">
      <c r="A1" s="5" t="s">
        <v>113</v>
      </c>
      <c r="B1" s="8" t="s">
        <v>114</v>
      </c>
      <c r="C1" s="8" t="s">
        <v>115</v>
      </c>
      <c r="D1" s="8" t="s">
        <v>116</v>
      </c>
      <c r="E1" s="7" t="s">
        <v>117</v>
      </c>
    </row>
    <row r="2" spans="1:5" x14ac:dyDescent="0.3">
      <c r="A2" s="5">
        <v>45688</v>
      </c>
      <c r="B2" s="8">
        <v>25640</v>
      </c>
      <c r="C2" s="8">
        <v>60082</v>
      </c>
      <c r="D2" s="8">
        <v>21492</v>
      </c>
      <c r="E2" s="7">
        <f>SUM(B2:C2)</f>
        <v>85722</v>
      </c>
    </row>
    <row r="3" spans="1:5" x14ac:dyDescent="0.3">
      <c r="A3" s="5">
        <v>45716</v>
      </c>
      <c r="B3" s="8">
        <v>43320</v>
      </c>
      <c r="C3" s="8">
        <v>70533</v>
      </c>
      <c r="D3" s="8">
        <v>27724</v>
      </c>
      <c r="E3" s="7">
        <f t="shared" ref="E3:E10" si="0">SUM(B3:C3)</f>
        <v>113853</v>
      </c>
    </row>
    <row r="4" spans="1:5" x14ac:dyDescent="0.3">
      <c r="A4" s="5">
        <v>45747</v>
      </c>
      <c r="B4" s="8">
        <v>34147</v>
      </c>
      <c r="C4" s="8">
        <v>63890</v>
      </c>
      <c r="D4" s="8">
        <v>17738</v>
      </c>
      <c r="E4" s="7">
        <f t="shared" si="0"/>
        <v>98037</v>
      </c>
    </row>
    <row r="5" spans="1:5" x14ac:dyDescent="0.3">
      <c r="A5" s="5">
        <v>45777</v>
      </c>
      <c r="B5" s="8">
        <v>44423</v>
      </c>
      <c r="C5" s="8">
        <v>90674</v>
      </c>
      <c r="D5" s="8">
        <v>21152</v>
      </c>
      <c r="E5" s="7">
        <f t="shared" si="0"/>
        <v>135097</v>
      </c>
    </row>
    <row r="6" spans="1:5" x14ac:dyDescent="0.3">
      <c r="A6" s="5">
        <v>45808</v>
      </c>
      <c r="B6" s="8">
        <v>32119</v>
      </c>
      <c r="C6" s="8">
        <v>55646</v>
      </c>
      <c r="D6" s="8">
        <v>19723</v>
      </c>
      <c r="E6" s="7">
        <f t="shared" si="0"/>
        <v>87765</v>
      </c>
    </row>
    <row r="7" spans="1:5" x14ac:dyDescent="0.3">
      <c r="A7" s="5">
        <v>45838</v>
      </c>
      <c r="B7" s="8">
        <v>20079</v>
      </c>
      <c r="C7" s="8">
        <v>99954</v>
      </c>
      <c r="D7" s="8">
        <v>15769</v>
      </c>
      <c r="E7" s="7">
        <f t="shared" si="0"/>
        <v>120033</v>
      </c>
    </row>
    <row r="8" spans="1:5" x14ac:dyDescent="0.3">
      <c r="A8" s="5">
        <v>45869</v>
      </c>
      <c r="B8" s="8">
        <v>36304</v>
      </c>
      <c r="C8" s="8">
        <v>63297</v>
      </c>
      <c r="D8" s="8">
        <v>25453</v>
      </c>
      <c r="E8" s="7">
        <f t="shared" si="0"/>
        <v>99601</v>
      </c>
    </row>
    <row r="9" spans="1:5" x14ac:dyDescent="0.3">
      <c r="A9" s="5">
        <v>45900</v>
      </c>
      <c r="B9" s="8">
        <v>36734</v>
      </c>
      <c r="C9" s="8">
        <v>93760</v>
      </c>
      <c r="D9" s="8">
        <v>16230</v>
      </c>
      <c r="E9" s="7">
        <f t="shared" si="0"/>
        <v>130494</v>
      </c>
    </row>
    <row r="10" spans="1:5" x14ac:dyDescent="0.3">
      <c r="A10" s="5">
        <v>45930</v>
      </c>
      <c r="B10" s="8">
        <v>34260</v>
      </c>
      <c r="C10" s="8">
        <v>70760</v>
      </c>
      <c r="D10" s="8">
        <v>28818</v>
      </c>
      <c r="E10" s="7">
        <f t="shared" si="0"/>
        <v>105020</v>
      </c>
    </row>
    <row r="13" spans="1:5" x14ac:dyDescent="0.3">
      <c r="B13" s="8" t="s">
        <v>226</v>
      </c>
    </row>
  </sheetData>
  <conditionalFormatting sqref="D1:D1048576">
    <cfRule type="colorScale" priority="1">
      <colorScale>
        <cfvo type="min"/>
        <cfvo type="max"/>
        <color rgb="FFF8696B"/>
        <color rgb="FFFCFCFF"/>
      </colorScale>
    </cfRule>
  </conditionalFormatting>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1"/>
  <sheetViews>
    <sheetView workbookViewId="0">
      <selection activeCell="P11" sqref="P11"/>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t="s">
        <v>7</v>
      </c>
      <c r="B2" s="2">
        <v>45708.027094907397</v>
      </c>
      <c r="C2" t="s">
        <v>37</v>
      </c>
      <c r="D2">
        <v>1018</v>
      </c>
      <c r="E2" t="s">
        <v>41</v>
      </c>
      <c r="F2">
        <v>1</v>
      </c>
      <c r="G2">
        <v>730</v>
      </c>
    </row>
    <row r="3" spans="1:7" x14ac:dyDescent="0.3">
      <c r="A3" t="s">
        <v>8</v>
      </c>
      <c r="B3" s="2">
        <v>45712.236793981479</v>
      </c>
      <c r="C3" t="s">
        <v>37</v>
      </c>
      <c r="D3">
        <v>1004</v>
      </c>
      <c r="E3" t="s">
        <v>42</v>
      </c>
      <c r="F3">
        <v>3</v>
      </c>
      <c r="G3">
        <v>378</v>
      </c>
    </row>
    <row r="4" spans="1:7" x14ac:dyDescent="0.3">
      <c r="A4" t="s">
        <v>9</v>
      </c>
      <c r="B4" s="2">
        <v>45736.268287037034</v>
      </c>
      <c r="C4" t="s">
        <v>38</v>
      </c>
      <c r="D4">
        <v>1005</v>
      </c>
      <c r="E4" t="s">
        <v>43</v>
      </c>
      <c r="F4">
        <v>1</v>
      </c>
      <c r="G4">
        <v>585</v>
      </c>
    </row>
    <row r="5" spans="1:7" x14ac:dyDescent="0.3">
      <c r="A5" t="s">
        <v>10</v>
      </c>
      <c r="B5" s="2">
        <v>45703.571203703701</v>
      </c>
      <c r="C5" t="s">
        <v>39</v>
      </c>
      <c r="D5">
        <v>1018</v>
      </c>
      <c r="E5" t="s">
        <v>44</v>
      </c>
      <c r="F5">
        <v>8</v>
      </c>
      <c r="G5">
        <v>726</v>
      </c>
    </row>
    <row r="6" spans="1:7" x14ac:dyDescent="0.3">
      <c r="A6" t="s">
        <v>11</v>
      </c>
      <c r="B6" s="2">
        <v>45663.685914351852</v>
      </c>
      <c r="C6" t="s">
        <v>40</v>
      </c>
      <c r="D6">
        <v>1012</v>
      </c>
      <c r="E6" t="s">
        <v>45</v>
      </c>
      <c r="F6">
        <v>2</v>
      </c>
      <c r="G6">
        <v>709</v>
      </c>
    </row>
    <row r="7" spans="1:7" x14ac:dyDescent="0.3">
      <c r="A7" t="s">
        <v>12</v>
      </c>
      <c r="B7" s="2">
        <v>45716.226770833331</v>
      </c>
      <c r="C7" t="s">
        <v>39</v>
      </c>
      <c r="D7">
        <v>1013</v>
      </c>
      <c r="E7" t="s">
        <v>45</v>
      </c>
      <c r="F7">
        <v>8</v>
      </c>
      <c r="G7">
        <v>1817</v>
      </c>
    </row>
    <row r="8" spans="1:7" x14ac:dyDescent="0.3">
      <c r="A8" t="s">
        <v>13</v>
      </c>
      <c r="B8" s="2">
        <v>45735.116423611107</v>
      </c>
      <c r="C8" t="s">
        <v>37</v>
      </c>
      <c r="D8">
        <v>1017</v>
      </c>
      <c r="E8" t="s">
        <v>41</v>
      </c>
      <c r="F8">
        <v>9</v>
      </c>
      <c r="G8">
        <v>1976</v>
      </c>
    </row>
    <row r="9" spans="1:7" x14ac:dyDescent="0.3">
      <c r="A9" t="s">
        <v>14</v>
      </c>
      <c r="B9" s="2">
        <v>45707.394131944442</v>
      </c>
      <c r="C9" t="s">
        <v>37</v>
      </c>
      <c r="D9">
        <v>1014</v>
      </c>
      <c r="E9" t="s">
        <v>41</v>
      </c>
      <c r="F9">
        <v>5</v>
      </c>
      <c r="G9">
        <v>1134</v>
      </c>
    </row>
    <row r="10" spans="1:7" x14ac:dyDescent="0.3">
      <c r="A10" t="s">
        <v>15</v>
      </c>
      <c r="B10" s="2">
        <v>45671.497210648151</v>
      </c>
      <c r="C10" t="s">
        <v>37</v>
      </c>
      <c r="D10">
        <v>1020</v>
      </c>
      <c r="E10" t="s">
        <v>46</v>
      </c>
      <c r="F10">
        <v>1</v>
      </c>
      <c r="G10">
        <v>1220</v>
      </c>
    </row>
    <row r="11" spans="1:7" x14ac:dyDescent="0.3">
      <c r="A11" t="s">
        <v>16</v>
      </c>
      <c r="B11" s="2">
        <v>45743.202222222222</v>
      </c>
      <c r="C11" t="s">
        <v>38</v>
      </c>
      <c r="D11">
        <v>1010</v>
      </c>
      <c r="E11" t="s">
        <v>42</v>
      </c>
      <c r="F11">
        <v>2</v>
      </c>
      <c r="G11">
        <v>283</v>
      </c>
    </row>
    <row r="12" spans="1:7" x14ac:dyDescent="0.3">
      <c r="A12" t="s">
        <v>17</v>
      </c>
      <c r="B12" s="2">
        <v>45684.929074074083</v>
      </c>
      <c r="C12" t="s">
        <v>38</v>
      </c>
      <c r="D12">
        <v>1019</v>
      </c>
      <c r="E12" t="s">
        <v>45</v>
      </c>
      <c r="F12">
        <v>9</v>
      </c>
      <c r="G12">
        <v>417</v>
      </c>
    </row>
    <row r="13" spans="1:7" x14ac:dyDescent="0.3">
      <c r="A13" t="s">
        <v>18</v>
      </c>
      <c r="B13" s="2">
        <v>45662.789641203701</v>
      </c>
      <c r="C13" t="s">
        <v>37</v>
      </c>
      <c r="D13">
        <v>1016</v>
      </c>
      <c r="E13" t="s">
        <v>45</v>
      </c>
      <c r="F13">
        <v>3</v>
      </c>
      <c r="G13">
        <v>1692</v>
      </c>
    </row>
    <row r="14" spans="1:7" x14ac:dyDescent="0.3">
      <c r="A14" t="s">
        <v>19</v>
      </c>
      <c r="B14" s="2">
        <v>45693.460138888891</v>
      </c>
      <c r="C14" t="s">
        <v>39</v>
      </c>
      <c r="D14">
        <v>1001</v>
      </c>
      <c r="E14" t="s">
        <v>46</v>
      </c>
      <c r="F14">
        <v>4</v>
      </c>
      <c r="G14">
        <v>1853</v>
      </c>
    </row>
    <row r="15" spans="1:7" x14ac:dyDescent="0.3">
      <c r="A15" t="s">
        <v>20</v>
      </c>
      <c r="B15" s="2">
        <v>45717.254155092603</v>
      </c>
      <c r="C15" t="s">
        <v>37</v>
      </c>
      <c r="D15">
        <v>1005</v>
      </c>
      <c r="E15" t="s">
        <v>46</v>
      </c>
      <c r="F15">
        <v>2</v>
      </c>
      <c r="G15">
        <v>505</v>
      </c>
    </row>
    <row r="16" spans="1:7" x14ac:dyDescent="0.3">
      <c r="A16" t="s">
        <v>21</v>
      </c>
      <c r="B16" s="2">
        <v>45672.072662037041</v>
      </c>
      <c r="C16" t="s">
        <v>37</v>
      </c>
      <c r="D16">
        <v>1016</v>
      </c>
      <c r="E16" t="s">
        <v>43</v>
      </c>
      <c r="F16">
        <v>3</v>
      </c>
      <c r="G16">
        <v>1355</v>
      </c>
    </row>
    <row r="17" spans="1:7" x14ac:dyDescent="0.3">
      <c r="A17" t="s">
        <v>22</v>
      </c>
      <c r="B17" s="2">
        <v>45742.873171296298</v>
      </c>
      <c r="C17" t="s">
        <v>40</v>
      </c>
      <c r="D17">
        <v>1003</v>
      </c>
      <c r="E17" t="s">
        <v>46</v>
      </c>
      <c r="F17">
        <v>8</v>
      </c>
      <c r="G17">
        <v>1220</v>
      </c>
    </row>
    <row r="18" spans="1:7" x14ac:dyDescent="0.3">
      <c r="A18" t="s">
        <v>23</v>
      </c>
      <c r="B18" s="2">
        <v>45688.213564814818</v>
      </c>
      <c r="C18" t="s">
        <v>40</v>
      </c>
      <c r="D18">
        <v>1008</v>
      </c>
      <c r="E18" t="s">
        <v>44</v>
      </c>
      <c r="F18">
        <v>3</v>
      </c>
      <c r="G18">
        <v>605</v>
      </c>
    </row>
    <row r="19" spans="1:7" x14ac:dyDescent="0.3">
      <c r="A19" t="s">
        <v>24</v>
      </c>
      <c r="B19" s="2">
        <v>45718.933310185188</v>
      </c>
      <c r="C19" t="s">
        <v>37</v>
      </c>
      <c r="D19">
        <v>1009</v>
      </c>
      <c r="E19" t="s">
        <v>43</v>
      </c>
      <c r="F19">
        <v>7</v>
      </c>
      <c r="G19">
        <v>1149</v>
      </c>
    </row>
    <row r="20" spans="1:7" x14ac:dyDescent="0.3">
      <c r="A20" t="s">
        <v>25</v>
      </c>
      <c r="B20" s="2">
        <v>45696.451539351852</v>
      </c>
      <c r="C20" t="s">
        <v>40</v>
      </c>
      <c r="D20">
        <v>1010</v>
      </c>
      <c r="E20" t="s">
        <v>42</v>
      </c>
      <c r="F20">
        <v>1</v>
      </c>
      <c r="G20">
        <v>1621</v>
      </c>
    </row>
    <row r="21" spans="1:7" x14ac:dyDescent="0.3">
      <c r="A21" t="s">
        <v>26</v>
      </c>
      <c r="B21" s="2">
        <v>45738.816504629627</v>
      </c>
      <c r="C21" t="s">
        <v>40</v>
      </c>
      <c r="D21">
        <v>1004</v>
      </c>
      <c r="E21" t="s">
        <v>46</v>
      </c>
      <c r="F21">
        <v>3</v>
      </c>
      <c r="G21">
        <v>1010</v>
      </c>
    </row>
    <row r="22" spans="1:7" x14ac:dyDescent="0.3">
      <c r="A22" t="s">
        <v>27</v>
      </c>
      <c r="B22" s="2">
        <v>45713.211342592593</v>
      </c>
      <c r="C22" t="s">
        <v>37</v>
      </c>
      <c r="D22">
        <v>1008</v>
      </c>
      <c r="E22" t="s">
        <v>42</v>
      </c>
      <c r="F22">
        <v>7</v>
      </c>
      <c r="G22">
        <v>241</v>
      </c>
    </row>
    <row r="23" spans="1:7" x14ac:dyDescent="0.3">
      <c r="A23" t="s">
        <v>28</v>
      </c>
      <c r="B23" s="2">
        <v>45723.977905092594</v>
      </c>
      <c r="C23" t="s">
        <v>38</v>
      </c>
      <c r="D23">
        <v>1005</v>
      </c>
      <c r="E23" t="s">
        <v>46</v>
      </c>
      <c r="F23">
        <v>7</v>
      </c>
      <c r="G23">
        <v>1336</v>
      </c>
    </row>
    <row r="24" spans="1:7" x14ac:dyDescent="0.3">
      <c r="A24" t="s">
        <v>29</v>
      </c>
      <c r="B24" s="2">
        <v>45662.648842592593</v>
      </c>
      <c r="C24" t="s">
        <v>38</v>
      </c>
      <c r="D24">
        <v>1006</v>
      </c>
      <c r="E24" t="s">
        <v>45</v>
      </c>
      <c r="F24">
        <v>3</v>
      </c>
      <c r="G24">
        <v>1752</v>
      </c>
    </row>
    <row r="25" spans="1:7" x14ac:dyDescent="0.3">
      <c r="A25" t="s">
        <v>30</v>
      </c>
      <c r="B25" s="2">
        <v>45715.878263888888</v>
      </c>
      <c r="C25" t="s">
        <v>39</v>
      </c>
      <c r="D25">
        <v>1020</v>
      </c>
      <c r="E25" t="s">
        <v>42</v>
      </c>
      <c r="F25">
        <v>8</v>
      </c>
      <c r="G25">
        <v>911</v>
      </c>
    </row>
    <row r="26" spans="1:7" x14ac:dyDescent="0.3">
      <c r="A26" t="s">
        <v>31</v>
      </c>
      <c r="B26" s="2">
        <v>45710.772175925929</v>
      </c>
      <c r="C26" t="s">
        <v>37</v>
      </c>
      <c r="D26">
        <v>1007</v>
      </c>
      <c r="E26" t="s">
        <v>43</v>
      </c>
      <c r="F26">
        <v>8</v>
      </c>
      <c r="G26">
        <v>1770</v>
      </c>
    </row>
    <row r="27" spans="1:7" x14ac:dyDescent="0.3">
      <c r="A27" t="s">
        <v>32</v>
      </c>
      <c r="B27" s="2">
        <v>45660.179594907408</v>
      </c>
      <c r="C27" t="s">
        <v>40</v>
      </c>
      <c r="D27">
        <v>1009</v>
      </c>
      <c r="E27" t="s">
        <v>42</v>
      </c>
      <c r="F27">
        <v>1</v>
      </c>
      <c r="G27">
        <v>1841</v>
      </c>
    </row>
    <row r="28" spans="1:7" x14ac:dyDescent="0.3">
      <c r="A28" t="s">
        <v>33</v>
      </c>
      <c r="B28" s="2">
        <v>45718.188310185193</v>
      </c>
      <c r="C28" t="s">
        <v>39</v>
      </c>
      <c r="D28">
        <v>1001</v>
      </c>
      <c r="E28" t="s">
        <v>43</v>
      </c>
      <c r="F28">
        <v>7</v>
      </c>
      <c r="G28">
        <v>796</v>
      </c>
    </row>
    <row r="29" spans="1:7" x14ac:dyDescent="0.3">
      <c r="A29" t="s">
        <v>34</v>
      </c>
      <c r="B29" s="2">
        <v>45685.123541666668</v>
      </c>
      <c r="C29" t="s">
        <v>38</v>
      </c>
      <c r="D29">
        <v>1003</v>
      </c>
      <c r="E29" t="s">
        <v>43</v>
      </c>
      <c r="F29">
        <v>6</v>
      </c>
      <c r="G29">
        <v>1011</v>
      </c>
    </row>
    <row r="30" spans="1:7" x14ac:dyDescent="0.3">
      <c r="A30" t="s">
        <v>35</v>
      </c>
      <c r="B30" s="2">
        <v>45722.085451388892</v>
      </c>
      <c r="C30" t="s">
        <v>38</v>
      </c>
      <c r="D30">
        <v>1011</v>
      </c>
      <c r="E30" t="s">
        <v>46</v>
      </c>
      <c r="F30">
        <v>2</v>
      </c>
      <c r="G30">
        <v>1660</v>
      </c>
    </row>
    <row r="31" spans="1:7" x14ac:dyDescent="0.3">
      <c r="A31" t="s">
        <v>36</v>
      </c>
      <c r="B31" s="2">
        <v>45666.62767361111</v>
      </c>
      <c r="C31" t="s">
        <v>39</v>
      </c>
      <c r="D31">
        <v>1016</v>
      </c>
      <c r="E31" t="s">
        <v>43</v>
      </c>
      <c r="F31">
        <v>5</v>
      </c>
      <c r="G31">
        <v>1119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BDEAD-F862-4B56-A594-B1102F6025CE}">
  <dimension ref="A1:G31"/>
  <sheetViews>
    <sheetView workbookViewId="0">
      <selection activeCell="I10" sqref="I10"/>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t="s">
        <v>47</v>
      </c>
      <c r="B2" s="2">
        <v>45770.271574074082</v>
      </c>
      <c r="C2" t="s">
        <v>40</v>
      </c>
      <c r="D2">
        <v>1016</v>
      </c>
      <c r="E2" t="s">
        <v>41</v>
      </c>
      <c r="F2">
        <v>7</v>
      </c>
      <c r="G2">
        <v>1039</v>
      </c>
    </row>
    <row r="3" spans="1:7" x14ac:dyDescent="0.3">
      <c r="A3" t="s">
        <v>48</v>
      </c>
      <c r="B3" s="2">
        <v>45821.985358796293</v>
      </c>
      <c r="C3" t="s">
        <v>38</v>
      </c>
      <c r="D3">
        <v>1010</v>
      </c>
      <c r="E3" t="s">
        <v>44</v>
      </c>
      <c r="F3">
        <v>2</v>
      </c>
      <c r="G3">
        <v>809</v>
      </c>
    </row>
    <row r="4" spans="1:7" x14ac:dyDescent="0.3">
      <c r="A4" t="s">
        <v>49</v>
      </c>
      <c r="B4" s="2">
        <v>45774.624965277777</v>
      </c>
      <c r="C4" t="s">
        <v>38</v>
      </c>
      <c r="D4">
        <v>1014</v>
      </c>
      <c r="E4" t="s">
        <v>43</v>
      </c>
      <c r="F4">
        <v>5</v>
      </c>
      <c r="G4">
        <v>1951</v>
      </c>
    </row>
    <row r="5" spans="1:7" x14ac:dyDescent="0.3">
      <c r="A5" t="s">
        <v>50</v>
      </c>
      <c r="B5" s="2">
        <v>45789.475810185177</v>
      </c>
      <c r="C5" t="s">
        <v>37</v>
      </c>
      <c r="D5">
        <v>1009</v>
      </c>
      <c r="E5" t="s">
        <v>44</v>
      </c>
      <c r="F5">
        <v>1</v>
      </c>
      <c r="G5">
        <v>1187</v>
      </c>
    </row>
    <row r="6" spans="1:7" x14ac:dyDescent="0.3">
      <c r="A6" t="s">
        <v>51</v>
      </c>
      <c r="B6" s="2">
        <v>45771.114571759259</v>
      </c>
      <c r="C6" t="s">
        <v>40</v>
      </c>
      <c r="D6">
        <v>1018</v>
      </c>
      <c r="E6" t="s">
        <v>42</v>
      </c>
      <c r="F6">
        <v>9</v>
      </c>
      <c r="G6">
        <v>1259</v>
      </c>
    </row>
    <row r="7" spans="1:7" x14ac:dyDescent="0.3">
      <c r="A7" t="s">
        <v>52</v>
      </c>
      <c r="B7" s="2">
        <v>45833.931319444448</v>
      </c>
      <c r="C7" t="s">
        <v>40</v>
      </c>
      <c r="D7">
        <v>1010</v>
      </c>
      <c r="E7" t="s">
        <v>43</v>
      </c>
      <c r="F7">
        <v>6</v>
      </c>
      <c r="G7">
        <v>1460</v>
      </c>
    </row>
    <row r="8" spans="1:7" x14ac:dyDescent="0.3">
      <c r="A8" t="s">
        <v>53</v>
      </c>
      <c r="B8" s="2">
        <v>45766.59642361111</v>
      </c>
      <c r="C8" t="s">
        <v>39</v>
      </c>
      <c r="D8">
        <v>1010</v>
      </c>
      <c r="E8" t="s">
        <v>46</v>
      </c>
      <c r="F8">
        <v>5</v>
      </c>
      <c r="G8">
        <v>1485</v>
      </c>
    </row>
    <row r="9" spans="1:7" x14ac:dyDescent="0.3">
      <c r="A9" t="s">
        <v>54</v>
      </c>
      <c r="B9" s="2">
        <v>45770.167129629634</v>
      </c>
      <c r="C9" t="s">
        <v>39</v>
      </c>
      <c r="D9">
        <v>1015</v>
      </c>
      <c r="E9" t="s">
        <v>44</v>
      </c>
      <c r="F9">
        <v>3</v>
      </c>
      <c r="G9">
        <v>1472</v>
      </c>
    </row>
    <row r="10" spans="1:7" x14ac:dyDescent="0.3">
      <c r="A10" t="s">
        <v>55</v>
      </c>
      <c r="B10" s="2">
        <v>45759.131932870368</v>
      </c>
      <c r="C10" t="s">
        <v>38</v>
      </c>
      <c r="D10">
        <v>1020</v>
      </c>
      <c r="E10" t="s">
        <v>45</v>
      </c>
      <c r="F10">
        <v>8</v>
      </c>
      <c r="G10">
        <v>1331</v>
      </c>
    </row>
    <row r="11" spans="1:7" x14ac:dyDescent="0.3">
      <c r="A11" t="s">
        <v>56</v>
      </c>
      <c r="B11" s="2">
        <v>45760.760393518518</v>
      </c>
      <c r="C11" t="s">
        <v>38</v>
      </c>
      <c r="D11">
        <v>1001</v>
      </c>
      <c r="E11" t="s">
        <v>44</v>
      </c>
      <c r="F11">
        <v>2</v>
      </c>
      <c r="G11">
        <v>222</v>
      </c>
    </row>
    <row r="12" spans="1:7" x14ac:dyDescent="0.3">
      <c r="A12" t="s">
        <v>57</v>
      </c>
      <c r="B12" s="2">
        <v>45754.452418981477</v>
      </c>
      <c r="C12" t="s">
        <v>37</v>
      </c>
      <c r="D12">
        <v>1012</v>
      </c>
      <c r="E12" t="s">
        <v>42</v>
      </c>
      <c r="F12">
        <v>3</v>
      </c>
      <c r="G12">
        <v>1781</v>
      </c>
    </row>
    <row r="13" spans="1:7" x14ac:dyDescent="0.3">
      <c r="A13" t="s">
        <v>58</v>
      </c>
      <c r="B13" s="2">
        <v>45823.740358796298</v>
      </c>
      <c r="C13" t="s">
        <v>38</v>
      </c>
      <c r="D13">
        <v>1001</v>
      </c>
      <c r="E13" t="s">
        <v>42</v>
      </c>
      <c r="F13">
        <v>2</v>
      </c>
      <c r="G13">
        <v>1545</v>
      </c>
    </row>
    <row r="14" spans="1:7" x14ac:dyDescent="0.3">
      <c r="A14" t="s">
        <v>59</v>
      </c>
      <c r="B14" s="2">
        <v>45827.390497685177</v>
      </c>
      <c r="C14" t="s">
        <v>39</v>
      </c>
      <c r="D14">
        <v>1019</v>
      </c>
      <c r="E14" t="s">
        <v>45</v>
      </c>
      <c r="F14">
        <v>1</v>
      </c>
      <c r="G14">
        <v>1437</v>
      </c>
    </row>
    <row r="15" spans="1:7" x14ac:dyDescent="0.3">
      <c r="A15" t="s">
        <v>60</v>
      </c>
      <c r="B15" s="2">
        <v>45754.479502314818</v>
      </c>
      <c r="C15" t="s">
        <v>40</v>
      </c>
      <c r="D15">
        <v>1009</v>
      </c>
      <c r="E15" t="s">
        <v>45</v>
      </c>
      <c r="F15">
        <v>8</v>
      </c>
      <c r="G15">
        <v>1539</v>
      </c>
    </row>
    <row r="16" spans="1:7" x14ac:dyDescent="0.3">
      <c r="A16" t="s">
        <v>61</v>
      </c>
      <c r="B16" s="2">
        <v>45788.261284722219</v>
      </c>
      <c r="C16" t="s">
        <v>40</v>
      </c>
      <c r="D16">
        <v>1013</v>
      </c>
      <c r="E16" t="s">
        <v>46</v>
      </c>
      <c r="F16">
        <v>2</v>
      </c>
      <c r="G16">
        <v>1414</v>
      </c>
    </row>
    <row r="17" spans="1:7" x14ac:dyDescent="0.3">
      <c r="A17" t="s">
        <v>62</v>
      </c>
      <c r="B17" s="2">
        <v>45789.088136574072</v>
      </c>
      <c r="C17" t="s">
        <v>39</v>
      </c>
      <c r="D17">
        <v>1011</v>
      </c>
      <c r="E17" t="s">
        <v>42</v>
      </c>
      <c r="F17">
        <v>9</v>
      </c>
      <c r="G17">
        <v>1076</v>
      </c>
    </row>
    <row r="18" spans="1:7" x14ac:dyDescent="0.3">
      <c r="A18" t="s">
        <v>63</v>
      </c>
      <c r="B18" s="2">
        <v>45787.813692129632</v>
      </c>
      <c r="C18" t="s">
        <v>40</v>
      </c>
      <c r="D18">
        <v>1009</v>
      </c>
      <c r="E18" t="s">
        <v>46</v>
      </c>
      <c r="F18">
        <v>1</v>
      </c>
      <c r="G18">
        <v>398</v>
      </c>
    </row>
    <row r="19" spans="1:7" x14ac:dyDescent="0.3">
      <c r="A19" t="s">
        <v>64</v>
      </c>
      <c r="B19" s="2">
        <v>45807.765486111108</v>
      </c>
      <c r="C19" t="s">
        <v>39</v>
      </c>
      <c r="D19">
        <v>1003</v>
      </c>
      <c r="E19" t="s">
        <v>42</v>
      </c>
      <c r="F19">
        <v>8</v>
      </c>
      <c r="G19">
        <v>1684</v>
      </c>
    </row>
    <row r="20" spans="1:7" x14ac:dyDescent="0.3">
      <c r="A20" t="s">
        <v>65</v>
      </c>
      <c r="B20" s="2">
        <v>45749.992546296293</v>
      </c>
      <c r="C20" t="s">
        <v>40</v>
      </c>
      <c r="D20">
        <v>1010</v>
      </c>
      <c r="E20" t="s">
        <v>46</v>
      </c>
      <c r="F20">
        <v>1</v>
      </c>
      <c r="G20">
        <v>648</v>
      </c>
    </row>
    <row r="21" spans="1:7" x14ac:dyDescent="0.3">
      <c r="A21" t="s">
        <v>66</v>
      </c>
      <c r="B21" s="2">
        <v>45816.867118055547</v>
      </c>
      <c r="C21" t="s">
        <v>39</v>
      </c>
      <c r="D21">
        <v>1006</v>
      </c>
      <c r="E21" t="s">
        <v>45</v>
      </c>
      <c r="F21">
        <v>6</v>
      </c>
      <c r="G21">
        <v>634</v>
      </c>
    </row>
    <row r="22" spans="1:7" x14ac:dyDescent="0.3">
      <c r="A22" t="s">
        <v>67</v>
      </c>
      <c r="B22" s="2">
        <v>45835.860034722216</v>
      </c>
      <c r="C22" t="s">
        <v>38</v>
      </c>
      <c r="D22">
        <v>1007</v>
      </c>
      <c r="E22" t="s">
        <v>45</v>
      </c>
      <c r="F22">
        <v>3</v>
      </c>
      <c r="G22">
        <v>119</v>
      </c>
    </row>
    <row r="23" spans="1:7" x14ac:dyDescent="0.3">
      <c r="A23" t="s">
        <v>68</v>
      </c>
      <c r="B23" s="2">
        <v>45773.565625000003</v>
      </c>
      <c r="C23" t="s">
        <v>38</v>
      </c>
      <c r="D23">
        <v>1007</v>
      </c>
      <c r="E23" t="s">
        <v>44</v>
      </c>
      <c r="F23">
        <v>6</v>
      </c>
      <c r="G23">
        <v>1219</v>
      </c>
    </row>
    <row r="24" spans="1:7" x14ac:dyDescent="0.3">
      <c r="A24" t="s">
        <v>69</v>
      </c>
      <c r="B24" s="2">
        <v>45790.724930555552</v>
      </c>
      <c r="C24" t="s">
        <v>37</v>
      </c>
      <c r="D24">
        <v>1020</v>
      </c>
      <c r="E24" t="s">
        <v>46</v>
      </c>
      <c r="F24">
        <v>2</v>
      </c>
      <c r="G24">
        <v>1169</v>
      </c>
    </row>
    <row r="25" spans="1:7" x14ac:dyDescent="0.3">
      <c r="A25" t="s">
        <v>70</v>
      </c>
      <c r="B25" s="2">
        <v>45790.060497685183</v>
      </c>
      <c r="C25" t="s">
        <v>38</v>
      </c>
      <c r="D25">
        <v>1019</v>
      </c>
      <c r="E25" t="s">
        <v>42</v>
      </c>
      <c r="F25">
        <v>4</v>
      </c>
      <c r="G25">
        <v>1964</v>
      </c>
    </row>
    <row r="26" spans="1:7" x14ac:dyDescent="0.3">
      <c r="A26" t="s">
        <v>71</v>
      </c>
      <c r="B26" s="2">
        <v>45797.920590277783</v>
      </c>
      <c r="C26" t="s">
        <v>38</v>
      </c>
      <c r="D26">
        <v>1002</v>
      </c>
      <c r="E26" t="s">
        <v>41</v>
      </c>
      <c r="F26">
        <v>4</v>
      </c>
      <c r="G26">
        <v>1929</v>
      </c>
    </row>
    <row r="27" spans="1:7" x14ac:dyDescent="0.3">
      <c r="A27" t="s">
        <v>72</v>
      </c>
      <c r="B27" s="2">
        <v>45756.893043981479</v>
      </c>
      <c r="C27" t="s">
        <v>39</v>
      </c>
      <c r="D27">
        <v>1005</v>
      </c>
      <c r="E27" t="s">
        <v>46</v>
      </c>
      <c r="F27">
        <v>2</v>
      </c>
      <c r="G27">
        <v>109</v>
      </c>
    </row>
    <row r="28" spans="1:7" x14ac:dyDescent="0.3">
      <c r="A28" t="s">
        <v>73</v>
      </c>
      <c r="B28" s="2">
        <v>45782.080439814818</v>
      </c>
      <c r="C28" t="s">
        <v>40</v>
      </c>
      <c r="D28">
        <v>1009</v>
      </c>
      <c r="E28" t="s">
        <v>44</v>
      </c>
      <c r="F28">
        <v>9</v>
      </c>
      <c r="G28">
        <v>249</v>
      </c>
    </row>
    <row r="29" spans="1:7" x14ac:dyDescent="0.3">
      <c r="A29" t="s">
        <v>74</v>
      </c>
      <c r="B29" s="2">
        <v>45770.850115740737</v>
      </c>
      <c r="C29" t="s">
        <v>39</v>
      </c>
      <c r="D29">
        <v>1018</v>
      </c>
      <c r="E29" t="s">
        <v>42</v>
      </c>
      <c r="F29">
        <v>7</v>
      </c>
      <c r="G29">
        <v>520</v>
      </c>
    </row>
    <row r="30" spans="1:7" x14ac:dyDescent="0.3">
      <c r="A30" t="s">
        <v>75</v>
      </c>
      <c r="B30" s="2">
        <v>45811.899641203701</v>
      </c>
      <c r="C30" t="s">
        <v>37</v>
      </c>
      <c r="D30">
        <v>1007</v>
      </c>
      <c r="E30" t="s">
        <v>43</v>
      </c>
      <c r="F30">
        <v>9</v>
      </c>
      <c r="G30">
        <v>854</v>
      </c>
    </row>
    <row r="31" spans="1:7" x14ac:dyDescent="0.3">
      <c r="A31" t="s">
        <v>76</v>
      </c>
      <c r="B31" s="2">
        <v>45752.782893518517</v>
      </c>
      <c r="C31" t="s">
        <v>39</v>
      </c>
      <c r="D31">
        <v>1006</v>
      </c>
      <c r="E31" t="s">
        <v>42</v>
      </c>
      <c r="F31">
        <v>2</v>
      </c>
      <c r="G31">
        <v>1035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C495-80A3-4437-82AF-37F1D3045C55}">
  <dimension ref="A1:G31"/>
  <sheetViews>
    <sheetView workbookViewId="0">
      <selection activeCell="M10" sqref="M10"/>
    </sheetView>
  </sheetViews>
  <sheetFormatPr defaultRowHeight="14.4" x14ac:dyDescent="0.3"/>
  <sheetData>
    <row r="1" spans="1:7" x14ac:dyDescent="0.3">
      <c r="A1" s="1" t="s">
        <v>0</v>
      </c>
      <c r="B1" s="1" t="s">
        <v>1</v>
      </c>
      <c r="C1" s="1" t="s">
        <v>2</v>
      </c>
      <c r="D1" s="1" t="s">
        <v>3</v>
      </c>
      <c r="E1" s="1" t="s">
        <v>4</v>
      </c>
      <c r="F1" s="1" t="s">
        <v>5</v>
      </c>
      <c r="G1" s="1" t="s">
        <v>6</v>
      </c>
    </row>
    <row r="2" spans="1:7" x14ac:dyDescent="0.3">
      <c r="A2" t="s">
        <v>77</v>
      </c>
      <c r="B2" s="2">
        <v>45839.827893518523</v>
      </c>
      <c r="C2" t="s">
        <v>40</v>
      </c>
      <c r="D2">
        <v>1001</v>
      </c>
      <c r="E2" t="s">
        <v>43</v>
      </c>
      <c r="F2">
        <v>4</v>
      </c>
      <c r="G2">
        <v>160</v>
      </c>
    </row>
    <row r="3" spans="1:7" x14ac:dyDescent="0.3">
      <c r="A3" t="s">
        <v>78</v>
      </c>
      <c r="B3" s="2">
        <v>45859.499537037038</v>
      </c>
      <c r="C3" t="s">
        <v>37</v>
      </c>
      <c r="D3">
        <v>1001</v>
      </c>
      <c r="E3" t="s">
        <v>43</v>
      </c>
      <c r="F3">
        <v>1</v>
      </c>
      <c r="G3">
        <v>233</v>
      </c>
    </row>
    <row r="4" spans="1:7" x14ac:dyDescent="0.3">
      <c r="A4" t="s">
        <v>79</v>
      </c>
      <c r="B4" s="2">
        <v>45894.505104166667</v>
      </c>
      <c r="C4" t="s">
        <v>38</v>
      </c>
      <c r="D4">
        <v>1010</v>
      </c>
      <c r="E4" t="s">
        <v>44</v>
      </c>
      <c r="F4">
        <v>9</v>
      </c>
      <c r="G4">
        <v>312</v>
      </c>
    </row>
    <row r="5" spans="1:7" x14ac:dyDescent="0.3">
      <c r="A5" t="s">
        <v>80</v>
      </c>
      <c r="B5" s="2">
        <v>45844.2341087963</v>
      </c>
      <c r="C5" t="s">
        <v>39</v>
      </c>
      <c r="D5">
        <v>1019</v>
      </c>
      <c r="E5" t="s">
        <v>45</v>
      </c>
      <c r="F5">
        <v>3</v>
      </c>
      <c r="G5">
        <v>603</v>
      </c>
    </row>
    <row r="6" spans="1:7" x14ac:dyDescent="0.3">
      <c r="A6" t="s">
        <v>81</v>
      </c>
      <c r="B6" s="2">
        <v>45850.673425925917</v>
      </c>
      <c r="C6" t="s">
        <v>37</v>
      </c>
      <c r="D6">
        <v>1006</v>
      </c>
      <c r="E6" t="s">
        <v>43</v>
      </c>
      <c r="F6">
        <v>8</v>
      </c>
      <c r="G6">
        <v>1987</v>
      </c>
    </row>
    <row r="7" spans="1:7" x14ac:dyDescent="0.3">
      <c r="A7" t="s">
        <v>82</v>
      </c>
      <c r="B7" s="2">
        <v>45891.79111111111</v>
      </c>
      <c r="C7" t="s">
        <v>40</v>
      </c>
      <c r="D7">
        <v>1008</v>
      </c>
      <c r="E7" t="s">
        <v>45</v>
      </c>
      <c r="F7">
        <v>3</v>
      </c>
      <c r="G7">
        <v>589</v>
      </c>
    </row>
    <row r="8" spans="1:7" x14ac:dyDescent="0.3">
      <c r="A8" t="s">
        <v>83</v>
      </c>
      <c r="B8" s="2">
        <v>45886.32172453704</v>
      </c>
      <c r="C8" t="s">
        <v>39</v>
      </c>
      <c r="D8">
        <v>1006</v>
      </c>
      <c r="E8" t="s">
        <v>42</v>
      </c>
      <c r="F8">
        <v>2</v>
      </c>
      <c r="G8">
        <v>1742</v>
      </c>
    </row>
    <row r="9" spans="1:7" x14ac:dyDescent="0.3">
      <c r="A9" t="s">
        <v>84</v>
      </c>
      <c r="B9" s="2">
        <v>45857.334780092591</v>
      </c>
      <c r="C9" t="s">
        <v>37</v>
      </c>
      <c r="D9">
        <v>1015</v>
      </c>
      <c r="E9" t="s">
        <v>44</v>
      </c>
      <c r="F9">
        <v>4</v>
      </c>
      <c r="G9">
        <v>1461</v>
      </c>
    </row>
    <row r="10" spans="1:7" x14ac:dyDescent="0.3">
      <c r="A10" t="s">
        <v>85</v>
      </c>
      <c r="B10" s="2">
        <v>45914.314293981479</v>
      </c>
      <c r="C10" t="s">
        <v>37</v>
      </c>
      <c r="D10">
        <v>1002</v>
      </c>
      <c r="E10" t="s">
        <v>45</v>
      </c>
      <c r="F10">
        <v>3</v>
      </c>
      <c r="G10">
        <v>1133</v>
      </c>
    </row>
    <row r="11" spans="1:7" x14ac:dyDescent="0.3">
      <c r="A11" t="s">
        <v>86</v>
      </c>
      <c r="B11" s="2">
        <v>45926.581597222219</v>
      </c>
      <c r="C11" t="s">
        <v>39</v>
      </c>
      <c r="D11">
        <v>1018</v>
      </c>
      <c r="E11" t="s">
        <v>43</v>
      </c>
      <c r="F11">
        <v>5</v>
      </c>
      <c r="G11">
        <v>644</v>
      </c>
    </row>
    <row r="12" spans="1:7" x14ac:dyDescent="0.3">
      <c r="A12" t="s">
        <v>87</v>
      </c>
      <c r="B12" s="2">
        <v>45897.155312499999</v>
      </c>
      <c r="C12" t="s">
        <v>40</v>
      </c>
      <c r="D12">
        <v>1002</v>
      </c>
      <c r="E12" t="s">
        <v>42</v>
      </c>
      <c r="F12">
        <v>2</v>
      </c>
      <c r="G12">
        <v>1265</v>
      </c>
    </row>
    <row r="13" spans="1:7" x14ac:dyDescent="0.3">
      <c r="A13" t="s">
        <v>88</v>
      </c>
      <c r="B13" s="2">
        <v>45868.096215277779</v>
      </c>
      <c r="C13" t="s">
        <v>38</v>
      </c>
      <c r="D13">
        <v>1011</v>
      </c>
      <c r="E13" t="s">
        <v>41</v>
      </c>
      <c r="F13">
        <v>3</v>
      </c>
      <c r="G13">
        <v>1634</v>
      </c>
    </row>
    <row r="14" spans="1:7" x14ac:dyDescent="0.3">
      <c r="A14" t="s">
        <v>89</v>
      </c>
      <c r="B14" s="2">
        <v>45916.957511574074</v>
      </c>
      <c r="C14" t="s">
        <v>39</v>
      </c>
      <c r="D14">
        <v>1012</v>
      </c>
      <c r="E14" t="s">
        <v>46</v>
      </c>
      <c r="F14">
        <v>3</v>
      </c>
      <c r="G14">
        <v>144</v>
      </c>
    </row>
    <row r="15" spans="1:7" x14ac:dyDescent="0.3">
      <c r="A15" t="s">
        <v>90</v>
      </c>
      <c r="B15" s="2">
        <v>45849.520115740743</v>
      </c>
      <c r="C15" t="s">
        <v>38</v>
      </c>
      <c r="D15">
        <v>1005</v>
      </c>
      <c r="E15" t="s">
        <v>41</v>
      </c>
      <c r="F15">
        <v>8</v>
      </c>
      <c r="G15">
        <v>1707</v>
      </c>
    </row>
    <row r="16" spans="1:7" x14ac:dyDescent="0.3">
      <c r="A16" t="s">
        <v>91</v>
      </c>
      <c r="B16" s="2">
        <v>45873.09915509259</v>
      </c>
      <c r="C16" t="s">
        <v>40</v>
      </c>
      <c r="D16">
        <v>1004</v>
      </c>
      <c r="E16" t="s">
        <v>45</v>
      </c>
      <c r="F16">
        <v>4</v>
      </c>
      <c r="G16">
        <v>960</v>
      </c>
    </row>
    <row r="17" spans="1:7" x14ac:dyDescent="0.3">
      <c r="A17" t="s">
        <v>92</v>
      </c>
      <c r="B17" s="2">
        <v>45926.222662037027</v>
      </c>
      <c r="C17" t="s">
        <v>38</v>
      </c>
      <c r="D17">
        <v>1017</v>
      </c>
      <c r="E17" t="s">
        <v>45</v>
      </c>
      <c r="F17">
        <v>5</v>
      </c>
      <c r="G17">
        <v>1416</v>
      </c>
    </row>
    <row r="18" spans="1:7" x14ac:dyDescent="0.3">
      <c r="A18" t="s">
        <v>93</v>
      </c>
      <c r="B18" s="2">
        <v>45906.44259259259</v>
      </c>
      <c r="C18" t="s">
        <v>37</v>
      </c>
      <c r="D18">
        <v>1017</v>
      </c>
      <c r="E18" t="s">
        <v>46</v>
      </c>
      <c r="F18">
        <v>2</v>
      </c>
      <c r="G18">
        <v>300</v>
      </c>
    </row>
    <row r="19" spans="1:7" x14ac:dyDescent="0.3">
      <c r="A19" t="s">
        <v>94</v>
      </c>
      <c r="B19" s="2">
        <v>45911.789861111109</v>
      </c>
      <c r="C19" t="s">
        <v>38</v>
      </c>
      <c r="D19">
        <v>1001</v>
      </c>
      <c r="E19" t="s">
        <v>45</v>
      </c>
      <c r="F19">
        <v>7</v>
      </c>
      <c r="G19">
        <v>608</v>
      </c>
    </row>
    <row r="20" spans="1:7" x14ac:dyDescent="0.3">
      <c r="A20" t="s">
        <v>95</v>
      </c>
      <c r="B20" s="2">
        <v>45867.799027777779</v>
      </c>
      <c r="C20" t="s">
        <v>38</v>
      </c>
      <c r="D20">
        <v>1017</v>
      </c>
      <c r="E20" t="s">
        <v>45</v>
      </c>
      <c r="F20">
        <v>8</v>
      </c>
      <c r="G20">
        <v>1150</v>
      </c>
    </row>
    <row r="21" spans="1:7" x14ac:dyDescent="0.3">
      <c r="A21" t="s">
        <v>96</v>
      </c>
      <c r="B21" s="2">
        <v>45880.701817129629</v>
      </c>
      <c r="C21" t="s">
        <v>40</v>
      </c>
      <c r="D21">
        <v>1019</v>
      </c>
      <c r="E21" t="s">
        <v>41</v>
      </c>
      <c r="F21">
        <v>2</v>
      </c>
      <c r="G21">
        <v>508</v>
      </c>
    </row>
    <row r="22" spans="1:7" x14ac:dyDescent="0.3">
      <c r="A22" t="s">
        <v>97</v>
      </c>
      <c r="B22" s="2">
        <v>45926.246377314812</v>
      </c>
      <c r="C22" t="s">
        <v>37</v>
      </c>
      <c r="D22">
        <v>1019</v>
      </c>
      <c r="E22" t="s">
        <v>41</v>
      </c>
      <c r="F22">
        <v>1</v>
      </c>
      <c r="G22">
        <v>1272</v>
      </c>
    </row>
    <row r="23" spans="1:7" x14ac:dyDescent="0.3">
      <c r="A23" t="s">
        <v>98</v>
      </c>
      <c r="B23" s="2">
        <v>45841.351273148153</v>
      </c>
      <c r="C23" t="s">
        <v>40</v>
      </c>
      <c r="D23">
        <v>1012</v>
      </c>
      <c r="E23" t="s">
        <v>43</v>
      </c>
      <c r="F23">
        <v>1</v>
      </c>
      <c r="G23">
        <v>1186</v>
      </c>
    </row>
    <row r="24" spans="1:7" x14ac:dyDescent="0.3">
      <c r="A24" t="s">
        <v>99</v>
      </c>
      <c r="B24" s="2">
        <v>45874.122870370367</v>
      </c>
      <c r="C24" t="s">
        <v>39</v>
      </c>
      <c r="D24">
        <v>1001</v>
      </c>
      <c r="E24" t="s">
        <v>45</v>
      </c>
      <c r="F24">
        <v>6</v>
      </c>
      <c r="G24">
        <v>272</v>
      </c>
    </row>
    <row r="25" spans="1:7" x14ac:dyDescent="0.3">
      <c r="A25" t="s">
        <v>100</v>
      </c>
      <c r="B25" s="2">
        <v>45875.450671296298</v>
      </c>
      <c r="C25" t="s">
        <v>37</v>
      </c>
      <c r="D25">
        <v>1014</v>
      </c>
      <c r="E25" t="s">
        <v>42</v>
      </c>
      <c r="F25">
        <v>9</v>
      </c>
      <c r="G25">
        <v>1794</v>
      </c>
    </row>
    <row r="26" spans="1:7" x14ac:dyDescent="0.3">
      <c r="A26" t="s">
        <v>101</v>
      </c>
      <c r="B26" s="2">
        <v>45895.845381944448</v>
      </c>
      <c r="C26" t="s">
        <v>37</v>
      </c>
      <c r="D26">
        <v>1006</v>
      </c>
      <c r="E26" t="s">
        <v>43</v>
      </c>
      <c r="F26">
        <v>5</v>
      </c>
      <c r="G26">
        <v>757</v>
      </c>
    </row>
    <row r="27" spans="1:7" x14ac:dyDescent="0.3">
      <c r="A27" t="s">
        <v>102</v>
      </c>
      <c r="B27" s="2">
        <v>45858.359560185178</v>
      </c>
      <c r="C27" t="s">
        <v>38</v>
      </c>
      <c r="D27">
        <v>1017</v>
      </c>
      <c r="E27" t="s">
        <v>44</v>
      </c>
      <c r="F27">
        <v>9</v>
      </c>
      <c r="G27">
        <v>472</v>
      </c>
    </row>
    <row r="28" spans="1:7" x14ac:dyDescent="0.3">
      <c r="A28" t="s">
        <v>103</v>
      </c>
      <c r="B28" s="2">
        <v>45862.545439814807</v>
      </c>
      <c r="C28" t="s">
        <v>39</v>
      </c>
      <c r="D28">
        <v>1002</v>
      </c>
      <c r="E28" t="s">
        <v>45</v>
      </c>
      <c r="F28">
        <v>9</v>
      </c>
      <c r="G28">
        <v>132</v>
      </c>
    </row>
    <row r="29" spans="1:7" x14ac:dyDescent="0.3">
      <c r="A29" t="s">
        <v>104</v>
      </c>
      <c r="B29" s="2">
        <v>45861.291134259263</v>
      </c>
      <c r="C29" t="s">
        <v>40</v>
      </c>
      <c r="D29">
        <v>1018</v>
      </c>
      <c r="E29" t="s">
        <v>45</v>
      </c>
      <c r="F29">
        <v>4</v>
      </c>
      <c r="G29">
        <v>1817</v>
      </c>
    </row>
    <row r="30" spans="1:7" x14ac:dyDescent="0.3">
      <c r="A30" t="s">
        <v>105</v>
      </c>
      <c r="B30" s="2">
        <v>45889.657800925917</v>
      </c>
      <c r="C30" t="s">
        <v>40</v>
      </c>
      <c r="D30">
        <v>1019</v>
      </c>
      <c r="E30" t="s">
        <v>43</v>
      </c>
      <c r="F30">
        <v>5</v>
      </c>
      <c r="G30">
        <v>698</v>
      </c>
    </row>
    <row r="31" spans="1:7" x14ac:dyDescent="0.3">
      <c r="A31" t="s">
        <v>106</v>
      </c>
      <c r="B31" s="2">
        <v>45898.258506944447</v>
      </c>
      <c r="C31" t="s">
        <v>38</v>
      </c>
      <c r="D31">
        <v>1003</v>
      </c>
      <c r="E31" t="s">
        <v>43</v>
      </c>
      <c r="F31">
        <v>3</v>
      </c>
      <c r="G31">
        <v>651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EA0294-9608-422C-AEE5-1D26034EEF5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Sheet6</vt:lpstr>
      <vt:lpstr>Sheet7</vt:lpstr>
      <vt:lpstr>Sales_All</vt:lpstr>
      <vt:lpstr>Dashboard</vt:lpstr>
      <vt:lpstr>Customers</vt:lpstr>
      <vt:lpstr>Products</vt:lpstr>
      <vt:lpstr>Operations</vt:lpstr>
      <vt:lpstr>Finance</vt:lpstr>
      <vt:lpstr>Sales_Q1</vt:lpstr>
      <vt:lpstr>Sales_Q2</vt:lpstr>
      <vt:lpstr>Sales_Q3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Natasha Ringane</dc:creator>
  <cp:lastModifiedBy>natasha ringane</cp:lastModifiedBy>
  <dcterms:created xsi:type="dcterms:W3CDTF">2025-09-09T13:20:14Z</dcterms:created>
  <dcterms:modified xsi:type="dcterms:W3CDTF">2026-08-13T13:30:37Z</dcterms:modified>
</cp:coreProperties>
</file>